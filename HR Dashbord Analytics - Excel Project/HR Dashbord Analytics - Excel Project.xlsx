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Ex3.xml" ContentType="application/vnd.ms-office.chartex+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hidePivotFieldList="1"/>
  <mc:AlternateContent xmlns:mc="http://schemas.openxmlformats.org/markup-compatibility/2006">
    <mc:Choice Requires="x15">
      <x15ac:absPath xmlns:x15ac="http://schemas.microsoft.com/office/spreadsheetml/2010/11/ac" url="C:\Users\user\Desktop\data c\Data Analysis Exercise Files\New project\"/>
    </mc:Choice>
  </mc:AlternateContent>
  <xr:revisionPtr revIDLastSave="0" documentId="13_ncr:1_{62577518-8D84-4E2E-A709-F4896EA0EAD0}" xr6:coauthVersionLast="45" xr6:coauthVersionMax="47" xr10:uidLastSave="{00000000-0000-0000-0000-000000000000}"/>
  <bookViews>
    <workbookView xWindow="-120" yWindow="-120" windowWidth="29040" windowHeight="17640" firstSheet="1" activeTab="1" xr2:uid="{00000000-000D-0000-FFFF-FFFF00000000}"/>
  </bookViews>
  <sheets>
    <sheet name="KPI" sheetId="1" r:id="rId1"/>
    <sheet name="Dashboard" sheetId="2" r:id="rId2"/>
    <sheet name="Dept wise Attrition" sheetId="7" r:id="rId3"/>
    <sheet name="Sheet9" sheetId="10" r:id="rId4"/>
    <sheet name="Atrrition by Job" sheetId="6" r:id="rId5"/>
    <sheet name="Rate" sheetId="3" r:id="rId6"/>
    <sheet name="Gender" sheetId="4" r:id="rId7"/>
    <sheet name="Education by Attrition" sheetId="5" r:id="rId8"/>
    <sheet name="Attrition by Age group" sheetId="8" r:id="rId9"/>
    <sheet name="Marital Status" sheetId="9" r:id="rId10"/>
  </sheets>
  <definedNames>
    <definedName name="_xlchart.v1.0" hidden="1">'Atrrition by Job'!$E$2:$E$10</definedName>
    <definedName name="_xlchart.v1.1" hidden="1">'Atrrition by Job'!$F$1</definedName>
    <definedName name="_xlchart.v1.2" hidden="1">'Atrrition by Job'!$F$2:$F$10</definedName>
    <definedName name="_xlchart.v1.3" hidden="1">'Atrrition by Job'!$E$2:$E$10</definedName>
    <definedName name="_xlchart.v1.4" hidden="1">'Atrrition by Job'!$F$1</definedName>
    <definedName name="_xlchart.v1.5" hidden="1">'Atrrition by Job'!$F$2:$F$10</definedName>
    <definedName name="_xlchart.v1.6" hidden="1">'Atrrition by Job'!$E$2:$E$10</definedName>
    <definedName name="_xlchart.v1.7" hidden="1">'Atrrition by Job'!$F$1</definedName>
    <definedName name="_xlchart.v1.8" hidden="1">'Atrrition by Job'!$F$2:$F$10</definedName>
    <definedName name="_xlchart.v2.10" hidden="1">'Marital Status'!$F$2</definedName>
    <definedName name="_xlchart.v2.11" hidden="1">'Marital Status'!$F$3:$F$5</definedName>
    <definedName name="_xlchart.v2.9" hidden="1">'Marital Status'!$E$3:$E$5</definedName>
    <definedName name="ExternalData_1" localSheetId="3" hidden="1">Sheet9!$A$3:$AR$105</definedName>
    <definedName name="Slicer_Attrition">#N/A</definedName>
    <definedName name="Slicer_Department">#N/A</definedName>
    <definedName name="Slicer_Education_Field">#N/A</definedName>
    <definedName name="Slicer_Education_Field1">#N/A</definedName>
    <definedName name="Slicer_Education_Field2">#N/A</definedName>
    <definedName name="Slicer_Gender">#N/A</definedName>
    <definedName name="Slicer_Gender1">#N/A</definedName>
    <definedName name="Slicer_Gender2">#N/A</definedName>
    <definedName name="Slicer_Job_Role">#N/A</definedName>
    <definedName name="Slicer_Job_Role1">#N/A</definedName>
  </definedNames>
  <calcPr calcId="191029"/>
  <pivotCaches>
    <pivotCache cacheId="0" r:id="rId11"/>
    <pivotCache cacheId="1" r:id="rId12"/>
    <pivotCache cacheId="2" r:id="rId13"/>
    <pivotCache cacheId="3" r:id="rId14"/>
    <pivotCache cacheId="4" r:id="rId15"/>
    <pivotCache cacheId="53" r:id="rId16"/>
    <pivotCache cacheId="56" r:id="rId17"/>
    <pivotCache cacheId="92"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1_88f9ece0-68e4-462d-8bfb-31fdeeea9046" name="Table_1" connection="Query - Table_1"/>
        </x15:modelTable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 i="9" l="1"/>
  <c r="E4" i="9"/>
  <c r="E3" i="9"/>
  <c r="E3" i="6"/>
  <c r="E4" i="6"/>
  <c r="E5" i="6"/>
  <c r="E6" i="6"/>
  <c r="E7" i="6"/>
  <c r="E8" i="6"/>
  <c r="E9" i="6"/>
  <c r="E10" i="6"/>
  <c r="E2" i="6"/>
  <c r="C5" i="1"/>
  <c r="B5" i="1"/>
  <c r="A5" i="1"/>
  <c r="B4" i="3"/>
  <c r="B9" i="4"/>
  <c r="B8" i="4"/>
  <c r="C8" i="4" l="1"/>
  <c r="C9" i="4"/>
  <c r="B5" i="3"/>
  <c r="C5" i="3" s="1"/>
  <c r="C4" i="3"/>
  <c r="E5" i="1"/>
  <c r="D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51BED5-C051-4C37-923F-F81882B89469}" keepAlive="1" name="ModelConnection_ExternalData_1" description="Data Model" type="5" refreshedVersion="8" minRefreshableVersion="5" saveData="1">
    <dbPr connection="Data Model Connection" command="DRILLTHROUGH MAXROWS 1000 SELECT FROM [Model] WHERE (([Measures].[Sum of CF_attrition count],[Table_1].[Job Role].&amp;[Manager])) RETURN [$Table_1].[Attrition],[$Table_1].[Business Travel],[$Table_1].[CF_age band],[$Table_1].[CF_attrition label],[$Table_1].[Department],[$Table_1].[Education Field],[$Table_1].[emp no],[$Table_1].[Employee Number],[$Table_1].[Gender],[$Table_1].[Job Role],[$Table_1].[Marital Status],[$Table_1].[Over Time],[$Table_1].[Over18],[$Table_1].[Training Times Last Year],[$Table_1].[-2],[$Table_1].[0],[$Table_1].[Age],[$Table_1].[CF_attrition count],[$Table_1].[CF_attrition counts],[$Table_1].[CF_attrition rate],[$Table_1].[CF_current Employee],[$Table_1].[Daily Rate],[$Table_1].[Distance From Home],[$Table_1].[Education],[$Table_1].[Employee Count],[$Table_1].[Environment Satisfaction],[$Table_1].[Hourly Rate],[$Table_1].[Job Involvement],[$Table_1].[Job Level],[$Table_1].[Job Satisfaction],[$Table_1].[Monthly Income],[$Table_1].[Monthly Rate],[$Table_1].[Num Companies Worked],[$Table_1].[Percent Salary Hike],[$Table_1].[Performance Rating],[$Table_1].[Relationship Satisfaction],[$Table_1].[Standard Hours],[$Table_1].[Stock Option Level],[$Table_1].[Total Working Years],[$Table_1].[Work Life Balance],[$Table_1].[Years At Company],[$Table_1].[Years In Current Role],[$Table_1].[Years Since Last Promotion],[$Table_1].[Years With Curr Manager]" commandType="4"/>
    <extLst>
      <ext xmlns:x15="http://schemas.microsoft.com/office/spreadsheetml/2010/11/main" uri="{DE250136-89BD-433C-8126-D09CA5730AF9}">
        <x15:connection id="" model="1"/>
      </ext>
    </extLst>
  </connection>
  <connection id="2" xr16:uid="{BED92CEF-9335-41C6-A203-F867CD923924}" name="Query - Table_1" description="Connection to the 'Table_1' query in the workbook." type="100" refreshedVersion="8" minRefreshableVersion="5">
    <extLst>
      <ext xmlns:x15="http://schemas.microsoft.com/office/spreadsheetml/2010/11/main" uri="{DE250136-89BD-433C-8126-D09CA5730AF9}">
        <x15:connection id="63637862-26e3-4fde-95d0-d72d6dc27cf1"/>
      </ext>
    </extLst>
  </connection>
  <connection id="3" xr16:uid="{9703E0CC-2390-412D-80BE-709F6C2364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<sst xmlns="http://schemas.openxmlformats.org/spreadsheetml/2006/main" count="1433" uniqueCount="204">
  <si>
    <t>Count of Employee Number</t>
  </si>
  <si>
    <t>Sum of CF_attrition count</t>
  </si>
  <si>
    <t>Average of Age</t>
  </si>
  <si>
    <t>Employee Number</t>
  </si>
  <si>
    <t>Attrition Count</t>
  </si>
  <si>
    <t>Average Age</t>
  </si>
  <si>
    <t>Active Employees</t>
  </si>
  <si>
    <t>Attrition Rate</t>
  </si>
  <si>
    <t>Average of Job Satisfaction</t>
  </si>
  <si>
    <t>Rating</t>
  </si>
  <si>
    <t>Balance Rating</t>
  </si>
  <si>
    <t>Row Labels</t>
  </si>
  <si>
    <t>Female</t>
  </si>
  <si>
    <t>Male</t>
  </si>
  <si>
    <t>Grand Total</t>
  </si>
  <si>
    <t>Associates Degree</t>
  </si>
  <si>
    <t>Bachelor's Degree</t>
  </si>
  <si>
    <t>Doctoral Degree</t>
  </si>
  <si>
    <t>High School</t>
  </si>
  <si>
    <t>Master's Degree</t>
  </si>
  <si>
    <t>Healthcare Representative</t>
  </si>
  <si>
    <t>Human Resources</t>
  </si>
  <si>
    <t>Laboratory Technician</t>
  </si>
  <si>
    <t>Manager</t>
  </si>
  <si>
    <t>Manufacturing Director</t>
  </si>
  <si>
    <t>Research Director</t>
  </si>
  <si>
    <t>Research Scientist</t>
  </si>
  <si>
    <t>Sales Executive</t>
  </si>
  <si>
    <t>Sales Representative</t>
  </si>
  <si>
    <t>Job Role</t>
  </si>
  <si>
    <t>Attrition</t>
  </si>
  <si>
    <t>HR</t>
  </si>
  <si>
    <t>R&amp;D</t>
  </si>
  <si>
    <t>Sales</t>
  </si>
  <si>
    <t>Count of Attrition</t>
  </si>
  <si>
    <t>25 - 34</t>
  </si>
  <si>
    <t>35 - 44</t>
  </si>
  <si>
    <t>45 - 54</t>
  </si>
  <si>
    <t>Over 55</t>
  </si>
  <si>
    <t>Under 25</t>
  </si>
  <si>
    <t>Divorced</t>
  </si>
  <si>
    <t>Married</t>
  </si>
  <si>
    <t>Single</t>
  </si>
  <si>
    <t>No</t>
  </si>
  <si>
    <t>Yes</t>
  </si>
  <si>
    <t>Matrial Status</t>
  </si>
  <si>
    <t>Table_1[Attrition]</t>
  </si>
  <si>
    <t>Table_1[Business Travel]</t>
  </si>
  <si>
    <t>Table_1[CF_age band]</t>
  </si>
  <si>
    <t>Table_1[CF_attrition label]</t>
  </si>
  <si>
    <t>Table_1[Department]</t>
  </si>
  <si>
    <t>Table_1[Education Field]</t>
  </si>
  <si>
    <t>Table_1[emp no]</t>
  </si>
  <si>
    <t>Table_1[Employee Number]</t>
  </si>
  <si>
    <t>Table_1[Gender]</t>
  </si>
  <si>
    <t>Table_1[Job Role]</t>
  </si>
  <si>
    <t>Table_1[Marital Status]</t>
  </si>
  <si>
    <t>Table_1[Over Time]</t>
  </si>
  <si>
    <t>Table_1[Over18]</t>
  </si>
  <si>
    <t>Table_1[Training Times Last Year]</t>
  </si>
  <si>
    <t>Table_1[-2]</t>
  </si>
  <si>
    <t>Table_1[0]</t>
  </si>
  <si>
    <t>Table_1[Age]</t>
  </si>
  <si>
    <t>Table_1[CF_attrition count]</t>
  </si>
  <si>
    <t>Table_1[CF_attrition counts]</t>
  </si>
  <si>
    <t>Table_1[CF_attrition rate]</t>
  </si>
  <si>
    <t>Table_1[CF_current Employee]</t>
  </si>
  <si>
    <t>Table_1[Daily Rate]</t>
  </si>
  <si>
    <t>Table_1[Distance From Home]</t>
  </si>
  <si>
    <t>Table_1[Education]</t>
  </si>
  <si>
    <t>Table_1[Employee Count]</t>
  </si>
  <si>
    <t>Table_1[Environment Satisfaction]</t>
  </si>
  <si>
    <t>Table_1[Hourly Rate]</t>
  </si>
  <si>
    <t>Table_1[Job Involvement]</t>
  </si>
  <si>
    <t>Table_1[Job Level]</t>
  </si>
  <si>
    <t>Table_1[Job Satisfaction]</t>
  </si>
  <si>
    <t>Table_1[Monthly Income]</t>
  </si>
  <si>
    <t>Table_1[Monthly Rate]</t>
  </si>
  <si>
    <t>Table_1[Num Companies Worked]</t>
  </si>
  <si>
    <t>Table_1[Percent Salary Hike]</t>
  </si>
  <si>
    <t>Table_1[Performance Rating]</t>
  </si>
  <si>
    <t>Table_1[Relationship Satisfaction]</t>
  </si>
  <si>
    <t>Table_1[Standard Hours]</t>
  </si>
  <si>
    <t>Table_1[Stock Option Level]</t>
  </si>
  <si>
    <t>Table_1[Total Working Years]</t>
  </si>
  <si>
    <t>Table_1[Work Life Balance]</t>
  </si>
  <si>
    <t>Table_1[Years At Company]</t>
  </si>
  <si>
    <t>Table_1[Years In Current Role]</t>
  </si>
  <si>
    <t>Table_1[Years Since Last Promotion]</t>
  </si>
  <si>
    <t>Table_1[Years With Curr Manager]</t>
  </si>
  <si>
    <t>Travel_Rarely</t>
  </si>
  <si>
    <t>Current Employees</t>
  </si>
  <si>
    <t>Life Sciences</t>
  </si>
  <si>
    <t>STAFF-298</t>
  </si>
  <si>
    <t>Y</t>
  </si>
  <si>
    <t>Medical</t>
  </si>
  <si>
    <t>STAFF-473</t>
  </si>
  <si>
    <t>Marketing</t>
  </si>
  <si>
    <t>STAFF-568</t>
  </si>
  <si>
    <t>STAFF-1029</t>
  </si>
  <si>
    <t>STAFF-1256</t>
  </si>
  <si>
    <t>Travel_Frequently</t>
  </si>
  <si>
    <t>STAFF-1306</t>
  </si>
  <si>
    <t>STAFF-1677</t>
  </si>
  <si>
    <t>STAFF-1938</t>
  </si>
  <si>
    <t>STAFF-1591</t>
  </si>
  <si>
    <t>STAFF-1516</t>
  </si>
  <si>
    <t>STAFF-323</t>
  </si>
  <si>
    <t>STAFF-410</t>
  </si>
  <si>
    <t>STAFF-613</t>
  </si>
  <si>
    <t>Technical Degree</t>
  </si>
  <si>
    <t>STAFF-1048</t>
  </si>
  <si>
    <t>STAFF-1280</t>
  </si>
  <si>
    <t>STAFF-1352</t>
  </si>
  <si>
    <t>STAFF-1408</t>
  </si>
  <si>
    <t>STAFF-1602</t>
  </si>
  <si>
    <t>STAFF-84</t>
  </si>
  <si>
    <t>STAFF-664</t>
  </si>
  <si>
    <t>Other</t>
  </si>
  <si>
    <t>STAFF-671</t>
  </si>
  <si>
    <t>STAFF-1321</t>
  </si>
  <si>
    <t>STAFF-1595</t>
  </si>
  <si>
    <t>STAFF-327</t>
  </si>
  <si>
    <t>STAFF-336</t>
  </si>
  <si>
    <t>STAFF-546</t>
  </si>
  <si>
    <t>STAFF-558</t>
  </si>
  <si>
    <t>STAFF-776</t>
  </si>
  <si>
    <t>STAFF-1045</t>
  </si>
  <si>
    <t>STAFF-1625</t>
  </si>
  <si>
    <t>STAFF-1973</t>
  </si>
  <si>
    <t>Ex-Employees</t>
  </si>
  <si>
    <t>STAFF-787</t>
  </si>
  <si>
    <t>STAFF-1277</t>
  </si>
  <si>
    <t>STAFF-531</t>
  </si>
  <si>
    <t>Non-Travel</t>
  </si>
  <si>
    <t>STAFF-2022</t>
  </si>
  <si>
    <t>STAFF-1520</t>
  </si>
  <si>
    <t>STAFF-505</t>
  </si>
  <si>
    <t>STAFF-1676</t>
  </si>
  <si>
    <t>STAFF-199</t>
  </si>
  <si>
    <t>STAFF-428</t>
  </si>
  <si>
    <t>STAFF-1215</t>
  </si>
  <si>
    <t>STAFF-1282</t>
  </si>
  <si>
    <t>STAFF-1900</t>
  </si>
  <si>
    <t>STAFF-1644</t>
  </si>
  <si>
    <t>STAFF-140</t>
  </si>
  <si>
    <t>STAFF-148</t>
  </si>
  <si>
    <t>STAFF-264</t>
  </si>
  <si>
    <t>STAFF-1074</t>
  </si>
  <si>
    <t>STAFF-1116</t>
  </si>
  <si>
    <t>STAFF-1334</t>
  </si>
  <si>
    <t>STAFF-1824</t>
  </si>
  <si>
    <t>STAFF-23</t>
  </si>
  <si>
    <t>STAFF-153</t>
  </si>
  <si>
    <t>STAFF-259</t>
  </si>
  <si>
    <t>STAFF-363</t>
  </si>
  <si>
    <t>STAFF-381</t>
  </si>
  <si>
    <t>STAFF-569</t>
  </si>
  <si>
    <t>STAFF-731</t>
  </si>
  <si>
    <t>STAFF-1307</t>
  </si>
  <si>
    <t>STAFF-1336</t>
  </si>
  <si>
    <t>STAFF-1866</t>
  </si>
  <si>
    <t>STAFF-582</t>
  </si>
  <si>
    <t>STAFF-32</t>
  </si>
  <si>
    <t>STAFF-38</t>
  </si>
  <si>
    <t>STAFF-226</t>
  </si>
  <si>
    <t>STAFF-374</t>
  </si>
  <si>
    <t>STAFF-549</t>
  </si>
  <si>
    <t>STAFF-597</t>
  </si>
  <si>
    <t>STAFF-625</t>
  </si>
  <si>
    <t>STAFF-851</t>
  </si>
  <si>
    <t>STAFF-976</t>
  </si>
  <si>
    <t>STAFF-981</t>
  </si>
  <si>
    <t>STAFF-1109</t>
  </si>
  <si>
    <t>STAFF-1124</t>
  </si>
  <si>
    <t>STAFF-1191</t>
  </si>
  <si>
    <t>STAFF-1201</t>
  </si>
  <si>
    <t>STAFF-1204</t>
  </si>
  <si>
    <t>STAFF-1267</t>
  </si>
  <si>
    <t>STAFF-1338</t>
  </si>
  <si>
    <t>STAFF-1786</t>
  </si>
  <si>
    <t>STAFF-1527</t>
  </si>
  <si>
    <t>STAFF-1892</t>
  </si>
  <si>
    <t>STAFF-2031</t>
  </si>
  <si>
    <t>STAFF-1665</t>
  </si>
  <si>
    <t>STAFF-158</t>
  </si>
  <si>
    <t>STAFF-329</t>
  </si>
  <si>
    <t>STAFF-644</t>
  </si>
  <si>
    <t>STAFF-734</t>
  </si>
  <si>
    <t>STAFF-992</t>
  </si>
  <si>
    <t>STAFF-1038</t>
  </si>
  <si>
    <t>STAFF-1740</t>
  </si>
  <si>
    <t>STAFF-1578</t>
  </si>
  <si>
    <t>STAFF-1550</t>
  </si>
  <si>
    <t>STAFF-376</t>
  </si>
  <si>
    <t>STAFF-253</t>
  </si>
  <si>
    <t>STAFF-319</t>
  </si>
  <si>
    <t>STAFF-429</t>
  </si>
  <si>
    <t>STAFF-444</t>
  </si>
  <si>
    <t>STAFF-809</t>
  </si>
  <si>
    <t>STAFF-820</t>
  </si>
  <si>
    <t>STAFF-905</t>
  </si>
  <si>
    <t>STAFF-1288</t>
  </si>
  <si>
    <t>Data returned for Sum of CF_attrition count, Manager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</si>
</sst>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1C5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 fontId="0" fillId="0" borderId="0" xfId="0" applyNumberFormat="1"/>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0" fillId="2" borderId="0" xfId="0" applyFill="1"/>
    <xf numFmtId="0" fontId="2" fillId="0" borderId="0" xfId="0" applyFont="1"/>
    <xf numFmtId="0" fontId="0" fillId="0" borderId="0" xfId="0" applyNumberFormat="1"/>
  </cellXfs>
  <cellStyles count="2">
    <cellStyle name="Normal" xfId="0" builtinId="0"/>
    <cellStyle name="Percent" xfId="1" builtinId="5"/>
  </cellStyles>
  <dxfs count="6">
    <dxf>
      <numFmt numFmtId="164" formatCode="0.0"/>
    </dxf>
    <dxf>
      <numFmt numFmtId="1" formatCode="0"/>
    </dxf>
    <dxf>
      <font>
        <b/>
        <i val="0"/>
        <sz val="9"/>
        <color theme="0"/>
      </font>
      <fill>
        <patternFill>
          <fgColor rgb="FF002060"/>
          <bgColor rgb="FF001F5C"/>
        </patternFill>
      </fill>
      <border diagonalUp="0" diagonalDown="0">
        <left/>
        <right/>
        <top/>
        <bottom/>
        <vertical/>
        <horizontal/>
      </border>
    </dxf>
    <dxf>
      <fill>
        <patternFill patternType="none">
          <bgColor auto="1"/>
        </patternFill>
      </fill>
    </dxf>
    <dxf>
      <fill>
        <patternFill>
          <bgColor theme="9" tint="-0.24994659260841701"/>
        </patternFill>
      </fill>
    </dxf>
    <dxf>
      <fill>
        <patternFill patternType="none">
          <bgColor auto="1"/>
        </patternFill>
      </fill>
    </dxf>
  </dxfs>
  <tableStyles count="3" defaultTableStyle="TableStyleMedium2" defaultPivotStyle="PivotStyleLight16">
    <tableStyle name="Slicer Style 1" pivot="0" table="0" count="4" xr9:uid="{A115E756-C7CA-4B75-9513-EB8B9DB26BC1}">
      <tableStyleElement type="wholeTable" dxfId="5"/>
      <tableStyleElement type="headerRow" dxfId="4"/>
    </tableStyle>
    <tableStyle name="Slicer Style 2" pivot="0" table="0" count="4" xr9:uid="{E3C7AE77-F57D-4B25-B712-F84C42167528}">
      <tableStyleElement type="wholeTable" dxfId="3"/>
    </tableStyle>
    <tableStyle name="Slicer Style 3" pivot="0" table="0" count="5" xr9:uid="{B6E6FA7C-1362-4E10-9F61-E133DF8410F3}">
      <tableStyleElement type="wholeTable" dxfId="2"/>
    </tableStyle>
  </tableStyles>
  <colors>
    <mruColors>
      <color rgb="FF0036A2"/>
      <color rgb="FF001F5C"/>
      <color rgb="FF001C54"/>
      <color rgb="FF003399"/>
      <color rgb="FF333399"/>
      <color rgb="FFFBBDF2"/>
      <color rgb="FFC50BAA"/>
      <color rgb="FFC60AAB"/>
      <color rgb="FF7030A0"/>
      <color rgb="FF2F72AF"/>
    </mruColors>
  </colors>
  <extLst>
    <ext xmlns:x14="http://schemas.microsoft.com/office/spreadsheetml/2009/9/main" uri="{46F421CA-312F-682f-3DD2-61675219B42D}">
      <x14:dxfs count="9">
        <dxf>
          <font>
            <color theme="9" tint="-0.24994659260841701"/>
          </font>
          <fill>
            <patternFill>
              <bgColor rgb="FF92D050"/>
            </patternFill>
          </fill>
        </dxf>
        <dxf>
          <fill>
            <patternFill>
              <bgColor theme="9" tint="-0.24994659260841701"/>
            </patternFill>
          </fill>
        </dxf>
        <dxf>
          <fill>
            <patternFill>
              <bgColor rgb="FF92D050"/>
            </patternFill>
          </fill>
        </dxf>
        <dxf>
          <fill>
            <patternFill>
              <bgColor theme="4" tint="0.59996337778862885"/>
            </patternFill>
          </fill>
        </dxf>
        <dxf>
          <fill>
            <patternFill>
              <bgColor rgb="FF92D050"/>
            </patternFill>
          </fill>
        </dxf>
        <dxf>
          <fill>
            <patternFill>
              <bgColor theme="9" tint="-0.24994659260841701"/>
            </patternFill>
          </fill>
        </dxf>
        <dxf>
          <fill>
            <patternFill>
              <bgColor rgb="FF002060"/>
            </patternFill>
          </fill>
        </dxf>
        <dxf>
          <fill>
            <patternFill>
              <bgColor theme="4" tint="0.59996337778862885"/>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 type="selectedItemWithNoData" dxfId="7"/>
          </x14:slicerStyleElements>
        </x14:slicerStyle>
        <x14:slicerStyle name="Slicer Style 2">
          <x14:slicerStyleElements>
            <x14:slicerStyleElement type="unselectedItemWithData" dxfId="6"/>
            <x14:slicerStyleElement type="selectedItemWithData" dxfId="5"/>
            <x14:slicerStyleElement type="selectedItemWithNoData" dxfId="4"/>
          </x14:slicerStyleElements>
        </x14:slicerStyle>
        <x14:slicerStyle name="Slicer Style 3">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6.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1.xml"/><Relationship Id="rId29"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5.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4.xml"/><Relationship Id="rId28" Type="http://schemas.microsoft.com/office/2007/relationships/slicerCache" Target="slicerCaches/slicerCache9.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microsoft.com/office/2007/relationships/slicerCache" Target="slicerCaches/slicerCache8.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3243296925306157"/>
          <c:y val="0.27004219409282698"/>
          <c:w val="0.44744702423964983"/>
          <c:h val="0.62869198312236285"/>
        </c:manualLayout>
      </c:layout>
      <c:doughnutChart>
        <c:varyColors val="1"/>
        <c:ser>
          <c:idx val="0"/>
          <c:order val="0"/>
          <c:spPr>
            <a:solidFill>
              <a:schemeClr val="accent6">
                <a:lumMod val="60000"/>
                <a:lumOff val="40000"/>
              </a:schemeClr>
            </a:solidFill>
            <a:ln>
              <a:noFill/>
            </a:ln>
          </c:spPr>
          <c:dPt>
            <c:idx val="0"/>
            <c:bubble3D val="0"/>
            <c:spPr>
              <a:solidFill>
                <a:schemeClr val="bg1"/>
              </a:solidFill>
              <a:ln w="19050">
                <a:noFill/>
              </a:ln>
              <a:effectLst/>
            </c:spPr>
            <c:extLst>
              <c:ext xmlns:c16="http://schemas.microsoft.com/office/drawing/2014/chart" uri="{C3380CC4-5D6E-409C-BE32-E72D297353CC}">
                <c16:uniqueId val="{00000001-9A97-472F-9E24-AF5397D3393E}"/>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9A97-472F-9E24-AF5397D3393E}"/>
              </c:ext>
            </c:extLst>
          </c:dPt>
          <c:val>
            <c:numRef>
              <c:f>Rate!$C$4:$C$5</c:f>
              <c:numCache>
                <c:formatCode>General</c:formatCode>
                <c:ptCount val="2"/>
                <c:pt idx="0">
                  <c:v>0.61497890295358648</c:v>
                </c:pt>
                <c:pt idx="1">
                  <c:v>0.38502109704641352</c:v>
                </c:pt>
              </c:numCache>
            </c:numRef>
          </c:val>
          <c:extLst>
            <c:ext xmlns:c16="http://schemas.microsoft.com/office/drawing/2014/chart" uri="{C3380CC4-5D6E-409C-BE32-E72D297353CC}">
              <c16:uniqueId val="{00000004-9A97-472F-9E24-AF5397D3393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lumMod val="75000"/>
              </a:schemeClr>
            </a:solidFill>
            <a:ln>
              <a:noFill/>
            </a:ln>
            <a:effectLst/>
          </c:spPr>
          <c:invertIfNegative val="0"/>
          <c:val>
            <c:numRef>
              <c:f>Rate!$B$4</c:f>
              <c:numCache>
                <c:formatCode>0.0</c:formatCode>
                <c:ptCount val="1"/>
                <c:pt idx="0">
                  <c:v>2.4599156118143459</c:v>
                </c:pt>
              </c:numCache>
            </c:numRef>
          </c:val>
          <c:extLst>
            <c:ext xmlns:c16="http://schemas.microsoft.com/office/drawing/2014/chart" uri="{C3380CC4-5D6E-409C-BE32-E72D297353CC}">
              <c16:uniqueId val="{00000000-427E-43C1-95A2-641A36EA44EB}"/>
            </c:ext>
          </c:extLst>
        </c:ser>
        <c:ser>
          <c:idx val="1"/>
          <c:order val="1"/>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8-427E-43C1-95A2-641A36EA44EB}"/>
              </c:ext>
            </c:extLst>
          </c:dPt>
          <c:val>
            <c:numRef>
              <c:f>Rate!$B$5</c:f>
              <c:numCache>
                <c:formatCode>0.0</c:formatCode>
                <c:ptCount val="1"/>
                <c:pt idx="0">
                  <c:v>1.5400843881856541</c:v>
                </c:pt>
              </c:numCache>
            </c:numRef>
          </c:val>
          <c:extLst>
            <c:ext xmlns:c16="http://schemas.microsoft.com/office/drawing/2014/chart" uri="{C3380CC4-5D6E-409C-BE32-E72D297353CC}">
              <c16:uniqueId val="{00000001-427E-43C1-95A2-641A36EA44EB}"/>
            </c:ext>
          </c:extLst>
        </c:ser>
        <c:dLbls>
          <c:showLegendKey val="0"/>
          <c:showVal val="0"/>
          <c:showCatName val="0"/>
          <c:showSerName val="0"/>
          <c:showPercent val="0"/>
          <c:showBubbleSize val="0"/>
        </c:dLbls>
        <c:gapWidth val="0"/>
        <c:overlap val="100"/>
        <c:axId val="697313952"/>
        <c:axId val="697314432"/>
      </c:barChart>
      <c:catAx>
        <c:axId val="697313952"/>
        <c:scaling>
          <c:orientation val="minMax"/>
        </c:scaling>
        <c:delete val="1"/>
        <c:axPos val="l"/>
        <c:majorTickMark val="out"/>
        <c:minorTickMark val="none"/>
        <c:tickLblPos val="nextTo"/>
        <c:crossAx val="697314432"/>
        <c:crosses val="autoZero"/>
        <c:auto val="1"/>
        <c:lblAlgn val="ctr"/>
        <c:lblOffset val="100"/>
        <c:noMultiLvlLbl val="0"/>
      </c:catAx>
      <c:valAx>
        <c:axId val="697314432"/>
        <c:scaling>
          <c:orientation val="minMax"/>
          <c:max val="4"/>
        </c:scaling>
        <c:delete val="1"/>
        <c:axPos val="b"/>
        <c:numFmt formatCode="0.0" sourceLinked="1"/>
        <c:majorTickMark val="out"/>
        <c:minorTickMark val="none"/>
        <c:tickLblPos val="nextTo"/>
        <c:crossAx val="69731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99000">
                    <a:schemeClr val="accent6">
                      <a:lumMod val="75000"/>
                    </a:schemeClr>
                  </a:gs>
                  <a:gs pos="100000">
                    <a:srgbClr val="FBBDF2"/>
                  </a:gs>
                </a:gsLst>
                <a:lin ang="10800000" scaled="0"/>
              </a:gradFill>
              <a:ln w="19050">
                <a:noFill/>
              </a:ln>
              <a:effectLst/>
            </c:spPr>
            <c:extLst>
              <c:ext xmlns:c16="http://schemas.microsoft.com/office/drawing/2014/chart" uri="{C3380CC4-5D6E-409C-BE32-E72D297353CC}">
                <c16:uniqueId val="{00000001-9594-4242-A572-59C55A7AB5C4}"/>
              </c:ext>
            </c:extLst>
          </c:dPt>
          <c:dPt>
            <c:idx val="1"/>
            <c:bubble3D val="0"/>
            <c:spPr>
              <a:solidFill>
                <a:schemeClr val="bg1"/>
              </a:solidFill>
              <a:ln w="19050">
                <a:noFill/>
              </a:ln>
              <a:effectLst/>
            </c:spPr>
            <c:extLst>
              <c:ext xmlns:c16="http://schemas.microsoft.com/office/drawing/2014/chart" uri="{C3380CC4-5D6E-409C-BE32-E72D297353CC}">
                <c16:uniqueId val="{00000003-9594-4242-A572-59C55A7AB5C4}"/>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9594-4242-A572-59C55A7AB5C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D86D-4098-8F32-64D549355273}"/>
              </c:ext>
            </c:extLst>
          </c:dPt>
          <c:dPt>
            <c:idx val="1"/>
            <c:bubble3D val="0"/>
            <c:spPr>
              <a:gradFill>
                <a:gsLst>
                  <a:gs pos="86000">
                    <a:srgbClr val="92D050"/>
                  </a:gs>
                  <a:gs pos="51000">
                    <a:srgbClr val="92D050"/>
                  </a:gs>
                </a:gsLst>
                <a:lin ang="10800000" scaled="0"/>
              </a:gradFill>
              <a:ln w="19050">
                <a:noFill/>
              </a:ln>
              <a:effectLst/>
            </c:spPr>
            <c:extLst>
              <c:ext xmlns:c16="http://schemas.microsoft.com/office/drawing/2014/chart" uri="{C3380CC4-5D6E-409C-BE32-E72D297353CC}">
                <c16:uniqueId val="{00000003-D86D-4098-8F32-64D549355273}"/>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D86D-4098-8F32-64D54935527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Dashbord Analytics - Excel Project.xlsx]Education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7000">
                <a:schemeClr val="accent6">
                  <a:lumMod val="75000"/>
                </a:schemeClr>
              </a:gs>
              <a:gs pos="100000">
                <a:schemeClr val="accent6">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46732843228719"/>
          <c:y val="6.4777327935222673E-2"/>
          <c:w val="0.68636837456929256"/>
          <c:h val="0.81539396644245377"/>
        </c:manualLayout>
      </c:layout>
      <c:barChart>
        <c:barDir val="bar"/>
        <c:grouping val="clustered"/>
        <c:varyColors val="0"/>
        <c:ser>
          <c:idx val="0"/>
          <c:order val="0"/>
          <c:tx>
            <c:strRef>
              <c:f>'Education by Attrition'!$D$8</c:f>
              <c:strCache>
                <c:ptCount val="1"/>
                <c:pt idx="0">
                  <c:v>Total</c:v>
                </c:pt>
              </c:strCache>
            </c:strRef>
          </c:tx>
          <c:spPr>
            <a:gradFill>
              <a:gsLst>
                <a:gs pos="87000">
                  <a:schemeClr val="accent6">
                    <a:lumMod val="75000"/>
                  </a:schemeClr>
                </a:gs>
                <a:gs pos="100000">
                  <a:schemeClr val="accent6">
                    <a:lumMod val="50000"/>
                  </a:schemeClr>
                </a:gs>
              </a:gsLst>
              <a:lin ang="10800000" scaled="0"/>
            </a:gra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Attrition'!$C$9:$C$14</c:f>
              <c:strCache>
                <c:ptCount val="5"/>
                <c:pt idx="0">
                  <c:v>Doctoral Degree</c:v>
                </c:pt>
                <c:pt idx="1">
                  <c:v>High School</c:v>
                </c:pt>
                <c:pt idx="2">
                  <c:v>Associates Degree</c:v>
                </c:pt>
                <c:pt idx="3">
                  <c:v>Master's Degree</c:v>
                </c:pt>
                <c:pt idx="4">
                  <c:v>Bachelor's Degree</c:v>
                </c:pt>
              </c:strCache>
            </c:strRef>
          </c:cat>
          <c:val>
            <c:numRef>
              <c:f>'Education by Attrition'!$D$9:$D$14</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5BD-4CA7-B9BA-445299842E75}"/>
            </c:ext>
          </c:extLst>
        </c:ser>
        <c:dLbls>
          <c:dLblPos val="outEnd"/>
          <c:showLegendKey val="0"/>
          <c:showVal val="1"/>
          <c:showCatName val="0"/>
          <c:showSerName val="0"/>
          <c:showPercent val="0"/>
          <c:showBubbleSize val="0"/>
        </c:dLbls>
        <c:gapWidth val="77"/>
        <c:axId val="816051888"/>
        <c:axId val="816038448"/>
      </c:barChart>
      <c:catAx>
        <c:axId val="816051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marL="0" indent="0">
              <a:defRPr lang="en-US" sz="1400" b="1" i="0" u="none" strike="noStrike" kern="1200" baseline="0">
                <a:solidFill>
                  <a:srgbClr val="92D050"/>
                </a:solidFill>
                <a:latin typeface="+mn-lt"/>
                <a:ea typeface="+mn-ea"/>
                <a:cs typeface="+mn-cs"/>
              </a:defRPr>
            </a:pPr>
            <a:endParaRPr lang="en-US"/>
          </a:p>
        </c:txPr>
        <c:crossAx val="816038448"/>
        <c:crosses val="autoZero"/>
        <c:auto val="1"/>
        <c:lblAlgn val="ctr"/>
        <c:lblOffset val="100"/>
        <c:noMultiLvlLbl val="0"/>
      </c:catAx>
      <c:valAx>
        <c:axId val="816038448"/>
        <c:scaling>
          <c:orientation val="minMax"/>
        </c:scaling>
        <c:delete val="1"/>
        <c:axPos val="b"/>
        <c:numFmt formatCode="General" sourceLinked="1"/>
        <c:majorTickMark val="out"/>
        <c:minorTickMark val="none"/>
        <c:tickLblPos val="nextTo"/>
        <c:crossAx val="81605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marL="0" indent="0">
        <a:defRPr lang="en-US" sz="1400" b="1">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Dashbord Analytics - Excel Project.xlsx]Dept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w="19050">
            <a:noFill/>
          </a:ln>
          <a:effectLst/>
        </c:spPr>
      </c:pivotFmt>
      <c:pivotFmt>
        <c:idx val="7"/>
        <c:spPr>
          <a:solidFill>
            <a:schemeClr val="accent6">
              <a:lumMod val="75000"/>
            </a:schemeClr>
          </a:solidFill>
          <a:ln w="19050">
            <a:noFill/>
          </a:ln>
          <a:effectLst/>
        </c:spPr>
      </c:pivotFmt>
      <c:pivotFmt>
        <c:idx val="8"/>
        <c:spPr>
          <a:solidFill>
            <a:srgbClr val="92D050"/>
          </a:solidFill>
          <a:ln w="19050">
            <a:noFill/>
          </a:ln>
          <a:effectLst/>
        </c:spPr>
      </c:pivotFmt>
    </c:pivotFmts>
    <c:plotArea>
      <c:layout>
        <c:manualLayout>
          <c:layoutTarget val="inner"/>
          <c:xMode val="edge"/>
          <c:yMode val="edge"/>
          <c:x val="0.16884449838509646"/>
          <c:y val="7.8703882857381724E-2"/>
          <c:w val="0.53888888888888886"/>
          <c:h val="0.89814814814814814"/>
        </c:manualLayout>
      </c:layout>
      <c:doughnutChart>
        <c:varyColors val="1"/>
        <c:ser>
          <c:idx val="0"/>
          <c:order val="0"/>
          <c:tx>
            <c:strRef>
              <c:f>'Dept wise Attrition'!$B$1</c:f>
              <c:strCache>
                <c:ptCount val="1"/>
                <c:pt idx="0">
                  <c:v>Total</c:v>
                </c:pt>
              </c:strCache>
            </c:strRef>
          </c:tx>
          <c:spPr>
            <a:solidFill>
              <a:schemeClr val="accent6">
                <a:lumMod val="75000"/>
              </a:schemeClr>
            </a:solidFill>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C3CA-4FC6-8561-AFFEDD0A6FB8}"/>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C3CA-4FC6-8561-AFFEDD0A6FB8}"/>
              </c:ext>
            </c:extLst>
          </c:dPt>
          <c:dPt>
            <c:idx val="2"/>
            <c:bubble3D val="0"/>
            <c:spPr>
              <a:solidFill>
                <a:srgbClr val="92D050"/>
              </a:solidFill>
              <a:ln w="19050">
                <a:noFill/>
              </a:ln>
              <a:effectLst/>
            </c:spPr>
            <c:extLst>
              <c:ext xmlns:c16="http://schemas.microsoft.com/office/drawing/2014/chart" uri="{C3380CC4-5D6E-409C-BE32-E72D297353CC}">
                <c16:uniqueId val="{00000005-C3CA-4FC6-8561-AFFEDD0A6FB8}"/>
              </c:ext>
            </c:extLst>
          </c:dPt>
          <c:cat>
            <c:strRef>
              <c:f>'Dept wise Attrition'!$A$2:$A$5</c:f>
              <c:strCache>
                <c:ptCount val="3"/>
                <c:pt idx="0">
                  <c:v>HR</c:v>
                </c:pt>
                <c:pt idx="1">
                  <c:v>Sales</c:v>
                </c:pt>
                <c:pt idx="2">
                  <c:v>R&amp;D</c:v>
                </c:pt>
              </c:strCache>
            </c:strRef>
          </c:cat>
          <c:val>
            <c:numRef>
              <c:f>'Dept wise Attrition'!$B$2:$B$5</c:f>
              <c:numCache>
                <c:formatCode>0.00%</c:formatCode>
                <c:ptCount val="3"/>
                <c:pt idx="0">
                  <c:v>5.0632911392405063E-2</c:v>
                </c:pt>
                <c:pt idx="1">
                  <c:v>0.3881856540084388</c:v>
                </c:pt>
                <c:pt idx="2">
                  <c:v>0.56118143459915615</c:v>
                </c:pt>
              </c:numCache>
            </c:numRef>
          </c:val>
          <c:extLst>
            <c:ext xmlns:c16="http://schemas.microsoft.com/office/drawing/2014/chart" uri="{C3380CC4-5D6E-409C-BE32-E72D297353CC}">
              <c16:uniqueId val="{00000006-C3CA-4FC6-8561-AFFEDD0A6FB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621486507099605"/>
          <c:y val="0.33428451992786085"/>
          <c:w val="0.11763686887779126"/>
          <c:h val="0.3071611308180157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Dashbord Analytics - Excel Project.xlsx]Attrition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3000">
                <a:schemeClr val="accent6">
                  <a:lumMod val="75000"/>
                </a:schemeClr>
              </a:gs>
              <a:gs pos="4000">
                <a:srgbClr val="92D050"/>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86556803350398E-2"/>
          <c:y val="5.3614762216595224E-2"/>
          <c:w val="0.9330289193302892"/>
          <c:h val="0.8292221337501352"/>
        </c:manualLayout>
      </c:layout>
      <c:barChart>
        <c:barDir val="col"/>
        <c:grouping val="clustered"/>
        <c:varyColors val="0"/>
        <c:ser>
          <c:idx val="0"/>
          <c:order val="0"/>
          <c:tx>
            <c:strRef>
              <c:f>'Attrition by Age group'!$F$10</c:f>
              <c:strCache>
                <c:ptCount val="1"/>
                <c:pt idx="0">
                  <c:v>Total</c:v>
                </c:pt>
              </c:strCache>
            </c:strRef>
          </c:tx>
          <c:spPr>
            <a:gradFill>
              <a:gsLst>
                <a:gs pos="23000">
                  <a:schemeClr val="accent6">
                    <a:lumMod val="75000"/>
                  </a:schemeClr>
                </a:gs>
                <a:gs pos="4000">
                  <a:srgbClr val="92D050"/>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group'!$E$11:$E$16</c:f>
              <c:strCache>
                <c:ptCount val="5"/>
                <c:pt idx="0">
                  <c:v>25 - 34</c:v>
                </c:pt>
                <c:pt idx="1">
                  <c:v>35 - 44</c:v>
                </c:pt>
                <c:pt idx="2">
                  <c:v>Under 25</c:v>
                </c:pt>
                <c:pt idx="3">
                  <c:v>45 - 54</c:v>
                </c:pt>
                <c:pt idx="4">
                  <c:v>Over 55</c:v>
                </c:pt>
              </c:strCache>
            </c:strRef>
          </c:cat>
          <c:val>
            <c:numRef>
              <c:f>'Attrition by Age group'!$F$11:$F$16</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546-408F-8FCD-73E5C73B8326}"/>
            </c:ext>
          </c:extLst>
        </c:ser>
        <c:dLbls>
          <c:dLblPos val="outEnd"/>
          <c:showLegendKey val="0"/>
          <c:showVal val="1"/>
          <c:showCatName val="0"/>
          <c:showSerName val="0"/>
          <c:showPercent val="0"/>
          <c:showBubbleSize val="0"/>
        </c:dLbls>
        <c:gapWidth val="104"/>
        <c:overlap val="-27"/>
        <c:axId val="794223664"/>
        <c:axId val="794224624"/>
      </c:barChart>
      <c:catAx>
        <c:axId val="7942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4224624"/>
        <c:crosses val="autoZero"/>
        <c:auto val="1"/>
        <c:lblAlgn val="ctr"/>
        <c:lblOffset val="100"/>
        <c:noMultiLvlLbl val="0"/>
      </c:catAx>
      <c:valAx>
        <c:axId val="794224624"/>
        <c:scaling>
          <c:orientation val="minMax"/>
        </c:scaling>
        <c:delete val="1"/>
        <c:axPos val="l"/>
        <c:numFmt formatCode="General" sourceLinked="1"/>
        <c:majorTickMark val="none"/>
        <c:minorTickMark val="none"/>
        <c:tickLblPos val="nextTo"/>
        <c:crossAx val="79422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99000">
                    <a:schemeClr val="accent6">
                      <a:lumMod val="75000"/>
                    </a:schemeClr>
                  </a:gs>
                  <a:gs pos="100000">
                    <a:srgbClr val="FBBDF2"/>
                  </a:gs>
                </a:gsLst>
                <a:lin ang="10800000" scaled="0"/>
              </a:gradFill>
              <a:ln w="19050">
                <a:noFill/>
              </a:ln>
              <a:effectLst/>
            </c:spPr>
            <c:extLst>
              <c:ext xmlns:c16="http://schemas.microsoft.com/office/drawing/2014/chart" uri="{C3380CC4-5D6E-409C-BE32-E72D297353CC}">
                <c16:uniqueId val="{00000001-9594-4242-A572-59C55A7AB5C4}"/>
              </c:ext>
            </c:extLst>
          </c:dPt>
          <c:dPt>
            <c:idx val="1"/>
            <c:bubble3D val="0"/>
            <c:spPr>
              <a:solidFill>
                <a:schemeClr val="bg1"/>
              </a:solidFill>
              <a:ln w="19050">
                <a:noFill/>
              </a:ln>
              <a:effectLst/>
            </c:spPr>
            <c:extLst>
              <c:ext xmlns:c16="http://schemas.microsoft.com/office/drawing/2014/chart" uri="{C3380CC4-5D6E-409C-BE32-E72D297353CC}">
                <c16:uniqueId val="{00000003-9594-4242-A572-59C55A7AB5C4}"/>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9594-4242-A572-59C55A7AB5C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D86D-4098-8F32-64D549355273}"/>
              </c:ext>
            </c:extLst>
          </c:dPt>
          <c:dPt>
            <c:idx val="1"/>
            <c:bubble3D val="0"/>
            <c:spPr>
              <a:gradFill>
                <a:gsLst>
                  <a:gs pos="86000">
                    <a:srgbClr val="92D050"/>
                  </a:gs>
                  <a:gs pos="51000">
                    <a:srgbClr val="92D050"/>
                  </a:gs>
                </a:gsLst>
                <a:lin ang="10800000" scaled="0"/>
              </a:gradFill>
              <a:ln w="19050">
                <a:noFill/>
              </a:ln>
              <a:effectLst/>
            </c:spPr>
            <c:extLst>
              <c:ext xmlns:c16="http://schemas.microsoft.com/office/drawing/2014/chart" uri="{C3380CC4-5D6E-409C-BE32-E72D297353CC}">
                <c16:uniqueId val="{00000003-D86D-4098-8F32-64D549355273}"/>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D86D-4098-8F32-64D54935527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Dashbord Analytics - Excel Project.xlsx]Marital Status!Marital Status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noFill/>
          </a:ln>
          <a:effectLst/>
        </c:spPr>
      </c:pivotFmt>
      <c:pivotFmt>
        <c:idx val="7"/>
        <c:spPr>
          <a:solidFill>
            <a:schemeClr val="accent1">
              <a:lumMod val="40000"/>
              <a:lumOff val="60000"/>
            </a:schemeClr>
          </a:solidFill>
          <a:ln w="19050">
            <a:noFill/>
          </a:ln>
          <a:effectLst/>
        </c:spPr>
      </c:pivotFmt>
      <c:pivotFmt>
        <c:idx val="8"/>
        <c:spPr>
          <a:solidFill>
            <a:srgbClr val="92D050"/>
          </a:solidFill>
          <a:ln w="19050">
            <a:noFill/>
          </a:ln>
          <a:effectLst/>
        </c:spPr>
      </c:pivotFmt>
    </c:pivotFmts>
    <c:plotArea>
      <c:layout/>
      <c:pieChart>
        <c:varyColors val="1"/>
        <c:ser>
          <c:idx val="0"/>
          <c:order val="0"/>
          <c:tx>
            <c:strRef>
              <c:f>'Marital Status'!$B$1</c:f>
              <c:strCache>
                <c:ptCount val="1"/>
                <c:pt idx="0">
                  <c:v>Total</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288B-4A90-9C61-6BB48FDE54DC}"/>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3-288B-4A90-9C61-6BB48FDE54DC}"/>
              </c:ext>
            </c:extLst>
          </c:dPt>
          <c:dPt>
            <c:idx val="2"/>
            <c:bubble3D val="0"/>
            <c:spPr>
              <a:solidFill>
                <a:srgbClr val="92D050"/>
              </a:solidFill>
              <a:ln w="19050">
                <a:noFill/>
              </a:ln>
              <a:effectLst/>
            </c:spPr>
            <c:extLst>
              <c:ext xmlns:c16="http://schemas.microsoft.com/office/drawing/2014/chart" uri="{C3380CC4-5D6E-409C-BE32-E72D297353CC}">
                <c16:uniqueId val="{00000005-288B-4A90-9C61-6BB48FDE54DC}"/>
              </c:ext>
            </c:extLst>
          </c:dPt>
          <c:cat>
            <c:strRef>
              <c:f>'Marital Status'!$A$2:$A$5</c:f>
              <c:strCache>
                <c:ptCount val="3"/>
                <c:pt idx="0">
                  <c:v>Divorced</c:v>
                </c:pt>
                <c:pt idx="1">
                  <c:v>Married</c:v>
                </c:pt>
                <c:pt idx="2">
                  <c:v>Single</c:v>
                </c:pt>
              </c:strCache>
            </c:strRef>
          </c:cat>
          <c:val>
            <c:numRef>
              <c:f>'Marital Status'!$B$2:$B$5</c:f>
              <c:numCache>
                <c:formatCode>General</c:formatCode>
                <c:ptCount val="3"/>
                <c:pt idx="0">
                  <c:v>327</c:v>
                </c:pt>
                <c:pt idx="1">
                  <c:v>673</c:v>
                </c:pt>
                <c:pt idx="2">
                  <c:v>470</c:v>
                </c:pt>
              </c:numCache>
            </c:numRef>
          </c:val>
          <c:extLst>
            <c:ext xmlns:c16="http://schemas.microsoft.com/office/drawing/2014/chart" uri="{C3380CC4-5D6E-409C-BE32-E72D297353CC}">
              <c16:uniqueId val="{00000006-288B-4A90-9C61-6BB48FDE54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Dashbord Analytics - Excel Project.xlsx]Dept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'Dept wise Attrition'!$B$1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A5-47EA-B47A-864739182C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A5-47EA-B47A-864739182C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A5-47EA-B47A-864739182C5A}"/>
              </c:ext>
            </c:extLst>
          </c:dPt>
          <c:cat>
            <c:strRef>
              <c:f>'Dept wise Attrition'!$A$2:$A$5</c:f>
              <c:strCache>
                <c:ptCount val="3"/>
                <c:pt idx="0">
                  <c:v>HR</c:v>
                </c:pt>
                <c:pt idx="1">
                  <c:v>Sales</c:v>
                </c:pt>
                <c:pt idx="2">
                  <c:v>R&amp;D</c:v>
                </c:pt>
              </c:strCache>
            </c:strRef>
          </c:cat>
          <c:val>
            <c:numRef>
              <c:f>'Dept wise Attrition'!$B$2:$B$5</c:f>
              <c:numCache>
                <c:formatCode>0.00%</c:formatCode>
                <c:ptCount val="3"/>
                <c:pt idx="0">
                  <c:v>5.0632911392405063E-2</c:v>
                </c:pt>
                <c:pt idx="1">
                  <c:v>0.3881856540084388</c:v>
                </c:pt>
                <c:pt idx="2">
                  <c:v>0.56118143459915615</c:v>
                </c:pt>
              </c:numCache>
            </c:numRef>
          </c:val>
          <c:extLst>
            <c:ext xmlns:c16="http://schemas.microsoft.com/office/drawing/2014/chart" uri="{C3380CC4-5D6E-409C-BE32-E72D297353CC}">
              <c16:uniqueId val="{00000000-049C-4DEF-8ECF-2CC0B260F5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Dashbord Analytics - Excel Project.xlsx]Atrrition by Job!Atrrition by Job</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'Atrrition by Job'!$B$1</c:f>
              <c:strCache>
                <c:ptCount val="1"/>
                <c:pt idx="0">
                  <c:v>Total</c:v>
                </c:pt>
              </c:strCache>
            </c:strRef>
          </c:tx>
          <c:spPr>
            <a:solidFill>
              <a:schemeClr val="accent1"/>
            </a:solidFill>
            <a:ln>
              <a:noFill/>
            </a:ln>
            <a:effectLst/>
          </c:spPr>
          <c:invertIfNegative val="0"/>
          <c:cat>
            <c:strRef>
              <c:f>'Atrrition by Job'!$A$2:$A$11</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'Atrrition by Job'!$B$2:$B$11</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0-CB03-4515-B2EE-93AADD56D71B}"/>
            </c:ext>
          </c:extLst>
        </c:ser>
        <c:dLbls>
          <c:showLegendKey val="0"/>
          <c:showVal val="0"/>
          <c:showCatName val="0"/>
          <c:showSerName val="0"/>
          <c:showPercent val="0"/>
          <c:showBubbleSize val="0"/>
        </c:dLbls>
        <c:gapWidth val="219"/>
        <c:axId val="711050112"/>
        <c:axId val="711053472"/>
      </c:barChart>
      <c:catAx>
        <c:axId val="71105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53472"/>
        <c:crosses val="autoZero"/>
        <c:auto val="1"/>
        <c:lblAlgn val="ctr"/>
        <c:lblOffset val="100"/>
        <c:noMultiLvlLbl val="0"/>
      </c:catAx>
      <c:valAx>
        <c:axId val="71105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5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14-4551-8473-6DE3DA8E78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14-4551-8473-6DE3DA8E78DB}"/>
              </c:ext>
            </c:extLst>
          </c:dPt>
          <c:val>
            <c:numRef>
              <c:f>Rate!$C$4:$C$5</c:f>
              <c:numCache>
                <c:formatCode>General</c:formatCode>
                <c:ptCount val="2"/>
                <c:pt idx="0">
                  <c:v>0.61497890295358648</c:v>
                </c:pt>
                <c:pt idx="1">
                  <c:v>0.38502109704641352</c:v>
                </c:pt>
              </c:numCache>
            </c:numRef>
          </c:val>
          <c:extLst>
            <c:ext xmlns:c16="http://schemas.microsoft.com/office/drawing/2014/chart" uri="{C3380CC4-5D6E-409C-BE32-E72D297353CC}">
              <c16:uniqueId val="{00000000-4D66-4C89-A856-33BC239A1C1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Rate!$B$4</c:f>
              <c:numCache>
                <c:formatCode>0.0</c:formatCode>
                <c:ptCount val="1"/>
                <c:pt idx="0">
                  <c:v>2.4599156118143459</c:v>
                </c:pt>
              </c:numCache>
            </c:numRef>
          </c:val>
          <c:extLst>
            <c:ext xmlns:c16="http://schemas.microsoft.com/office/drawing/2014/chart" uri="{C3380CC4-5D6E-409C-BE32-E72D297353CC}">
              <c16:uniqueId val="{00000000-EA5C-435A-8D3B-96F21A40E048}"/>
            </c:ext>
          </c:extLst>
        </c:ser>
        <c:ser>
          <c:idx val="1"/>
          <c:order val="1"/>
          <c:spPr>
            <a:solidFill>
              <a:schemeClr val="accent2"/>
            </a:solidFill>
            <a:ln>
              <a:noFill/>
            </a:ln>
            <a:effectLst/>
          </c:spPr>
          <c:invertIfNegative val="0"/>
          <c:val>
            <c:numRef>
              <c:f>Rate!$B$5</c:f>
              <c:numCache>
                <c:formatCode>0.0</c:formatCode>
                <c:ptCount val="1"/>
                <c:pt idx="0">
                  <c:v>1.5400843881856541</c:v>
                </c:pt>
              </c:numCache>
            </c:numRef>
          </c:val>
          <c:extLst>
            <c:ext xmlns:c16="http://schemas.microsoft.com/office/drawing/2014/chart" uri="{C3380CC4-5D6E-409C-BE32-E72D297353CC}">
              <c16:uniqueId val="{00000001-EA5C-435A-8D3B-96F21A40E048}"/>
            </c:ext>
          </c:extLst>
        </c:ser>
        <c:dLbls>
          <c:showLegendKey val="0"/>
          <c:showVal val="0"/>
          <c:showCatName val="0"/>
          <c:showSerName val="0"/>
          <c:showPercent val="0"/>
          <c:showBubbleSize val="0"/>
        </c:dLbls>
        <c:gapWidth val="0"/>
        <c:overlap val="100"/>
        <c:axId val="697313952"/>
        <c:axId val="697314432"/>
      </c:barChart>
      <c:catAx>
        <c:axId val="697313952"/>
        <c:scaling>
          <c:orientation val="minMax"/>
        </c:scaling>
        <c:delete val="1"/>
        <c:axPos val="l"/>
        <c:majorTickMark val="out"/>
        <c:minorTickMark val="none"/>
        <c:tickLblPos val="nextTo"/>
        <c:crossAx val="697314432"/>
        <c:crosses val="autoZero"/>
        <c:auto val="1"/>
        <c:lblAlgn val="ctr"/>
        <c:lblOffset val="100"/>
        <c:noMultiLvlLbl val="0"/>
      </c:catAx>
      <c:valAx>
        <c:axId val="697314432"/>
        <c:scaling>
          <c:orientation val="minMax"/>
          <c:max val="4"/>
        </c:scaling>
        <c:delete val="1"/>
        <c:axPos val="b"/>
        <c:numFmt formatCode="0.0" sourceLinked="1"/>
        <c:majorTickMark val="out"/>
        <c:minorTickMark val="none"/>
        <c:tickLblPos val="nextTo"/>
        <c:crossAx val="69731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3A-4C78-B7A9-FE64291152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3A-4C78-B7A9-FE642911522E}"/>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3966-40B6-9C5B-927804C5BB7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Dashbord Analytics - Excel Project.xlsx]Education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Attrition'!$D$8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Attrition'!$C$9:$C$14</c:f>
              <c:strCache>
                <c:ptCount val="5"/>
                <c:pt idx="0">
                  <c:v>Doctoral Degree</c:v>
                </c:pt>
                <c:pt idx="1">
                  <c:v>High School</c:v>
                </c:pt>
                <c:pt idx="2">
                  <c:v>Associates Degree</c:v>
                </c:pt>
                <c:pt idx="3">
                  <c:v>Master's Degree</c:v>
                </c:pt>
                <c:pt idx="4">
                  <c:v>Bachelor's Degree</c:v>
                </c:pt>
              </c:strCache>
            </c:strRef>
          </c:cat>
          <c:val>
            <c:numRef>
              <c:f>'Education by Attrition'!$D$9:$D$14</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F60-426B-A062-6838731CF833}"/>
            </c:ext>
          </c:extLst>
        </c:ser>
        <c:dLbls>
          <c:dLblPos val="outEnd"/>
          <c:showLegendKey val="0"/>
          <c:showVal val="1"/>
          <c:showCatName val="0"/>
          <c:showSerName val="0"/>
          <c:showPercent val="0"/>
          <c:showBubbleSize val="0"/>
        </c:dLbls>
        <c:gapWidth val="182"/>
        <c:axId val="816051888"/>
        <c:axId val="816038448"/>
      </c:barChart>
      <c:catAx>
        <c:axId val="816051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38448"/>
        <c:crosses val="autoZero"/>
        <c:auto val="1"/>
        <c:lblAlgn val="ctr"/>
        <c:lblOffset val="100"/>
        <c:noMultiLvlLbl val="0"/>
      </c:catAx>
      <c:valAx>
        <c:axId val="816038448"/>
        <c:scaling>
          <c:orientation val="minMax"/>
        </c:scaling>
        <c:delete val="1"/>
        <c:axPos val="b"/>
        <c:numFmt formatCode="General" sourceLinked="1"/>
        <c:majorTickMark val="out"/>
        <c:minorTickMark val="none"/>
        <c:tickLblPos val="nextTo"/>
        <c:crossAx val="81605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Dashbord Analytics - Excel Project.xlsx]Attrition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7.407407407407407E-2"/>
          <c:w val="0.93888888888888888"/>
          <c:h val="0.8416746864975212"/>
        </c:manualLayout>
      </c:layout>
      <c:barChart>
        <c:barDir val="col"/>
        <c:grouping val="clustered"/>
        <c:varyColors val="0"/>
        <c:ser>
          <c:idx val="0"/>
          <c:order val="0"/>
          <c:tx>
            <c:strRef>
              <c:f>'Attrition by Age group'!$F$10</c:f>
              <c:strCache>
                <c:ptCount val="1"/>
                <c:pt idx="0">
                  <c:v>Total</c:v>
                </c:pt>
              </c:strCache>
            </c:strRef>
          </c:tx>
          <c:spPr>
            <a:solidFill>
              <a:schemeClr val="accent1"/>
            </a:solidFill>
            <a:ln>
              <a:noFill/>
            </a:ln>
            <a:effectLst/>
          </c:spPr>
          <c:invertIfNegative val="0"/>
          <c:cat>
            <c:strRef>
              <c:f>'Attrition by Age group'!$E$11:$E$16</c:f>
              <c:strCache>
                <c:ptCount val="5"/>
                <c:pt idx="0">
                  <c:v>25 - 34</c:v>
                </c:pt>
                <c:pt idx="1">
                  <c:v>35 - 44</c:v>
                </c:pt>
                <c:pt idx="2">
                  <c:v>Under 25</c:v>
                </c:pt>
                <c:pt idx="3">
                  <c:v>45 - 54</c:v>
                </c:pt>
                <c:pt idx="4">
                  <c:v>Over 55</c:v>
                </c:pt>
              </c:strCache>
            </c:strRef>
          </c:cat>
          <c:val>
            <c:numRef>
              <c:f>'Attrition by Age group'!$F$11:$F$16</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2BF-4CED-9C0F-5EEE4144A144}"/>
            </c:ext>
          </c:extLst>
        </c:ser>
        <c:dLbls>
          <c:showLegendKey val="0"/>
          <c:showVal val="0"/>
          <c:showCatName val="0"/>
          <c:showSerName val="0"/>
          <c:showPercent val="0"/>
          <c:showBubbleSize val="0"/>
        </c:dLbls>
        <c:gapWidth val="219"/>
        <c:overlap val="-27"/>
        <c:axId val="794223664"/>
        <c:axId val="794224624"/>
      </c:barChart>
      <c:catAx>
        <c:axId val="7942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224624"/>
        <c:crosses val="autoZero"/>
        <c:auto val="1"/>
        <c:lblAlgn val="ctr"/>
        <c:lblOffset val="100"/>
        <c:noMultiLvlLbl val="0"/>
      </c:catAx>
      <c:valAx>
        <c:axId val="794224624"/>
        <c:scaling>
          <c:orientation val="minMax"/>
        </c:scaling>
        <c:delete val="1"/>
        <c:axPos val="l"/>
        <c:numFmt formatCode="General" sourceLinked="1"/>
        <c:majorTickMark val="none"/>
        <c:minorTickMark val="none"/>
        <c:tickLblPos val="nextTo"/>
        <c:crossAx val="79422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Dashbord Analytics - Excel Project.xlsx]Marital Status!Marital Status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'Marital Status'!$B$1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93-4044-814C-9D2F58F3DF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93-4044-814C-9D2F58F3DF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93-4044-814C-9D2F58F3DF14}"/>
              </c:ext>
            </c:extLst>
          </c:dPt>
          <c:cat>
            <c:strRef>
              <c:f>'Marital Status'!$A$2:$A$5</c:f>
              <c:strCache>
                <c:ptCount val="3"/>
                <c:pt idx="0">
                  <c:v>Divorced</c:v>
                </c:pt>
                <c:pt idx="1">
                  <c:v>Married</c:v>
                </c:pt>
                <c:pt idx="2">
                  <c:v>Single</c:v>
                </c:pt>
              </c:strCache>
            </c:strRef>
          </c:cat>
          <c:val>
            <c:numRef>
              <c:f>'Marital Status'!$B$2:$B$5</c:f>
              <c:numCache>
                <c:formatCode>General</c:formatCode>
                <c:ptCount val="3"/>
                <c:pt idx="0">
                  <c:v>327</c:v>
                </c:pt>
                <c:pt idx="1">
                  <c:v>673</c:v>
                </c:pt>
                <c:pt idx="2">
                  <c:v>470</c:v>
                </c:pt>
              </c:numCache>
            </c:numRef>
          </c:val>
          <c:extLst>
            <c:ext xmlns:c16="http://schemas.microsoft.com/office/drawing/2014/chart" uri="{C3380CC4-5D6E-409C-BE32-E72D297353CC}">
              <c16:uniqueId val="{00000000-2DE4-4FE7-A097-82D7C4C6D4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DB4A4502-A850-4159-87C1-E83DEE6DC795}">
          <cx:tx>
            <cx:txData>
              <cx:f>_xlchart.v1.4</cx:f>
              <cx:v>Attrition</cx:v>
            </cx:txData>
          </cx:tx>
          <cx:dataPt idx="0">
            <cx:spPr>
              <a:solidFill>
                <a:srgbClr val="EEECE1">
                  <a:lumMod val="90000"/>
                </a:srgbClr>
              </a:solidFill>
              <a:ln>
                <a:noFill/>
              </a:ln>
            </cx:spPr>
          </cx:dataPt>
          <cx:dataPt idx="1">
            <cx:spPr>
              <a:solidFill>
                <a:srgbClr val="F79646">
                  <a:lumMod val="40000"/>
                  <a:lumOff val="60000"/>
                </a:srgbClr>
              </a:solidFill>
              <a:ln>
                <a:noFill/>
              </a:ln>
            </cx:spPr>
          </cx:dataPt>
          <cx:dataPt idx="2">
            <cx:spPr>
              <a:solidFill>
                <a:srgbClr val="F79646">
                  <a:lumMod val="75000"/>
                </a:srgbClr>
              </a:solidFill>
              <a:ln>
                <a:noFill/>
              </a:ln>
            </cx:spPr>
          </cx:dataPt>
          <cx:dataPt idx="3">
            <cx:spPr>
              <a:solidFill>
                <a:srgbClr val="8064A2">
                  <a:lumMod val="40000"/>
                  <a:lumOff val="60000"/>
                </a:srgbClr>
              </a:solidFill>
              <a:ln>
                <a:noFill/>
              </a:ln>
            </cx:spPr>
          </cx:dataPt>
          <cx:dataPt idx="4">
            <cx:spPr>
              <a:solidFill>
                <a:srgbClr val="8064A2">
                  <a:lumMod val="60000"/>
                  <a:lumOff val="40000"/>
                </a:srgbClr>
              </a:solidFill>
              <a:ln>
                <a:noFill/>
              </a:ln>
            </cx:spPr>
          </cx:dataPt>
          <cx:dataPt idx="5">
            <cx:spPr>
              <a:solidFill>
                <a:srgbClr val="92D050"/>
              </a:solidFill>
              <a:ln>
                <a:noFill/>
              </a:ln>
            </cx:spPr>
          </cx:dataPt>
          <cx:dataPt idx="6">
            <cx:spPr>
              <a:solidFill>
                <a:srgbClr val="92D050"/>
              </a:solidFill>
              <a:ln>
                <a:noFill/>
              </a:ln>
            </cx:spPr>
          </cx:dataPt>
          <cx:dataPt idx="7">
            <cx:spPr>
              <a:solidFill>
                <a:srgbClr val="4F81BD">
                  <a:lumMod val="40000"/>
                  <a:lumOff val="60000"/>
                </a:srgbClr>
              </a:solidFill>
              <a:ln>
                <a:noFill/>
              </a:ln>
            </cx:spPr>
          </cx:dataPt>
          <cx:dataPt idx="8">
            <cx:spPr>
              <a:solidFill>
                <a:sysClr val="window" lastClr="FFFFFF">
                  <a:lumMod val="65000"/>
                </a:sysClr>
              </a:solidFill>
              <a:ln>
                <a:noFill/>
              </a:ln>
            </cx:spPr>
          </cx:dataPt>
          <cx:dataLabels>
            <cx:txPr>
              <a:bodyPr spcFirstLastPara="1" vertOverflow="ellipsis" horzOverflow="overflow" wrap="square" lIns="0" tIns="0" rIns="0" bIns="0" anchor="ctr" anchorCtr="1"/>
              <a:lstStyle/>
              <a:p>
                <a:pPr algn="ctr" rtl="0">
                  <a:defRPr b="0">
                    <a:solidFill>
                      <a:schemeClr val="bg1"/>
                    </a:solidFill>
                  </a:defRPr>
                </a:pPr>
                <a:endParaRPr lang="en-US" sz="900" b="0" i="0" u="none" strike="noStrike" baseline="0">
                  <a:solidFill>
                    <a:schemeClr val="bg1"/>
                  </a:solidFill>
                  <a:latin typeface="Calibri" panose="020F0502020204030204"/>
                </a:endParaRPr>
              </a:p>
            </cx:txPr>
            <cx:visibility seriesName="0" categoryName="1" value="0"/>
            <cx:dataLabel idx="5">
              <cx:txPr>
                <a:bodyPr spcFirstLastPara="1" vertOverflow="ellipsis" horzOverflow="overflow" wrap="square" lIns="0" tIns="0" rIns="0" bIns="0" anchor="ctr" anchorCtr="1"/>
                <a:lstStyle/>
                <a:p>
                  <a:pPr algn="ctr" rtl="0">
                    <a:defRPr/>
                  </a:pPr>
                  <a:r>
                    <a:rPr lang="en-US" sz="900" b="0" i="0" u="none" strike="noStrike" baseline="0">
                      <a:solidFill>
                        <a:schemeClr val="bg1"/>
                      </a:solidFill>
                      <a:latin typeface="Calibri" panose="020F0502020204030204"/>
                    </a:rPr>
                    <a:t>Manufacturing Director</a:t>
                  </a:r>
                </a:p>
              </cx:txPr>
              <cx:visibility seriesName="0" categoryName="1" value="0"/>
            </cx:dataLabel>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DB4A4502-A850-4159-87C1-E83DEE6DC795}">
          <cx:tx>
            <cx:txData>
              <cx:f>_xlchart.v1.7</cx:f>
              <cx:v>Attrition</cx:v>
            </cx:txData>
          </cx:tx>
          <cx:dataLabels>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plotArea>
      <cx:plotAreaRegion>
        <cx:series layoutId="funnel" uniqueId="{F3425A4B-0B59-4E39-B44C-0DAAEB1AC30B}">
          <cx:tx>
            <cx:txData>
              <cx:f>_xlchart.v2.10</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png"/><Relationship Id="rId18" Type="http://schemas.openxmlformats.org/officeDocument/2006/relationships/chart" Target="../charts/chart4.xml"/><Relationship Id="rId26"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3.xml"/><Relationship Id="rId25"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image" Target="../media/image14.svg"/><Relationship Id="rId20" Type="http://schemas.openxmlformats.org/officeDocument/2006/relationships/image" Target="../media/image16.svg"/><Relationship Id="rId29"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13.png"/><Relationship Id="rId23" Type="http://schemas.openxmlformats.org/officeDocument/2006/relationships/chart" Target="../charts/chart5.xml"/><Relationship Id="rId28" Type="http://schemas.openxmlformats.org/officeDocument/2006/relationships/chart" Target="../charts/chart10.xml"/><Relationship Id="rId10" Type="http://schemas.openxmlformats.org/officeDocument/2006/relationships/image" Target="../media/image10.svg"/><Relationship Id="rId19" Type="http://schemas.openxmlformats.org/officeDocument/2006/relationships/image" Target="../media/image15.png"/><Relationship Id="rId31" Type="http://schemas.microsoft.com/office/2014/relationships/chartEx" Target="../charts/chartEx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2.svg"/><Relationship Id="rId22" Type="http://schemas.openxmlformats.org/officeDocument/2006/relationships/image" Target="../media/image18.svg"/><Relationship Id="rId27" Type="http://schemas.openxmlformats.org/officeDocument/2006/relationships/chart" Target="../charts/chart9.xml"/><Relationship Id="rId30" Type="http://schemas.openxmlformats.org/officeDocument/2006/relationships/image" Target="../media/image20.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7</xdr:col>
      <xdr:colOff>428625</xdr:colOff>
      <xdr:row>8</xdr:row>
      <xdr:rowOff>123825</xdr:rowOff>
    </xdr:from>
    <xdr:to>
      <xdr:col>10</xdr:col>
      <xdr:colOff>428625</xdr:colOff>
      <xdr:row>21</xdr:row>
      <xdr:rowOff>171450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9EEF657-1A5C-CE84-E457-A8C967F4ED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58150" y="1647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219075</xdr:colOff>
      <xdr:row>1</xdr:row>
      <xdr:rowOff>28575</xdr:rowOff>
    </xdr:from>
    <xdr:ext cx="14354175" cy="7181849"/>
    <xdr:grpSp>
      <xdr:nvGrpSpPr>
        <xdr:cNvPr id="29" name="Shape 2">
          <a:extLst>
            <a:ext uri="{FF2B5EF4-FFF2-40B4-BE49-F238E27FC236}">
              <a16:creationId xmlns:a16="http://schemas.microsoft.com/office/drawing/2014/main" id="{63D3037F-EDFA-4970-869E-38D63F5F26C1}"/>
            </a:ext>
          </a:extLst>
        </xdr:cNvPr>
        <xdr:cNvGrpSpPr/>
      </xdr:nvGrpSpPr>
      <xdr:grpSpPr>
        <a:xfrm>
          <a:off x="828675" y="219075"/>
          <a:ext cx="14354175" cy="7181849"/>
          <a:chOff x="-1" y="41438"/>
          <a:chExt cx="10692001" cy="7477125"/>
        </a:xfrm>
        <a:solidFill>
          <a:srgbClr val="001C54"/>
        </a:solidFill>
      </xdr:grpSpPr>
      <xdr:grpSp>
        <xdr:nvGrpSpPr>
          <xdr:cNvPr id="30" name="Shape 3">
            <a:extLst>
              <a:ext uri="{FF2B5EF4-FFF2-40B4-BE49-F238E27FC236}">
                <a16:creationId xmlns:a16="http://schemas.microsoft.com/office/drawing/2014/main" id="{C23F8F88-11D1-0F12-6040-64C6216EDCB9}"/>
              </a:ext>
            </a:extLst>
          </xdr:cNvPr>
          <xdr:cNvGrpSpPr/>
        </xdr:nvGrpSpPr>
        <xdr:grpSpPr>
          <a:xfrm>
            <a:off x="-1" y="41438"/>
            <a:ext cx="10692001" cy="7477125"/>
            <a:chOff x="1752599" y="190500"/>
            <a:chExt cx="13468352" cy="7776000"/>
          </a:xfrm>
          <a:grpFill/>
        </xdr:grpSpPr>
        <xdr:sp macro="" textlink="">
          <xdr:nvSpPr>
            <xdr:cNvPr id="31" name="Shape 4">
              <a:extLst>
                <a:ext uri="{FF2B5EF4-FFF2-40B4-BE49-F238E27FC236}">
                  <a16:creationId xmlns:a16="http://schemas.microsoft.com/office/drawing/2014/main" id="{F1B88CB5-9FD5-1FCF-6EF7-4866A8705EBA}"/>
                </a:ext>
              </a:extLst>
            </xdr:cNvPr>
            <xdr:cNvSpPr/>
          </xdr:nvSpPr>
          <xdr:spPr>
            <a:xfrm>
              <a:off x="1752599" y="190500"/>
              <a:ext cx="13468350" cy="7776000"/>
            </a:xfrm>
            <a:prstGeom prst="rect">
              <a:avLst/>
            </a:prstGeom>
            <a:grpFill/>
            <a:ln>
              <a:noFill/>
            </a:ln>
          </xdr:spPr>
          <xdr:style>
            <a:lnRef idx="0">
              <a:scrgbClr r="0" g="0" b="0"/>
            </a:lnRef>
            <a:fillRef idx="1002">
              <a:schemeClr val="dk1"/>
            </a:fillRef>
            <a:effectRef idx="0">
              <a:scrgbClr r="0" g="0" b="0"/>
            </a:effectRef>
            <a:fontRef idx="major"/>
          </xdr:style>
          <xdr:txBody>
            <a:bodyPr spcFirstLastPara="1" wrap="square" lIns="91425" tIns="91425" rIns="91425" bIns="91425" anchor="ctr" anchorCtr="0">
              <a:noAutofit/>
            </a:bodyPr>
            <a:lstStyle/>
            <a:p>
              <a:pPr marL="0" lvl="0" indent="0" algn="l" rtl="0">
                <a:spcBef>
                  <a:spcPts val="0"/>
                </a:spcBef>
                <a:spcAft>
                  <a:spcPts val="0"/>
                </a:spcAft>
                <a:buNone/>
              </a:pPr>
              <a:endParaRPr sz="1400">
                <a:solidFill>
                  <a:schemeClr val="bg1"/>
                </a:solidFill>
              </a:endParaRPr>
            </a:p>
          </xdr:txBody>
        </xdr:sp>
        <xdr:sp macro="" textlink="">
          <xdr:nvSpPr>
            <xdr:cNvPr id="32" name="Shape 5">
              <a:extLst>
                <a:ext uri="{FF2B5EF4-FFF2-40B4-BE49-F238E27FC236}">
                  <a16:creationId xmlns:a16="http://schemas.microsoft.com/office/drawing/2014/main" id="{18323922-4751-CF1E-6AC5-1D025C26B8C7}"/>
                </a:ext>
              </a:extLst>
            </xdr:cNvPr>
            <xdr:cNvSpPr/>
          </xdr:nvSpPr>
          <xdr:spPr>
            <a:xfrm>
              <a:off x="1752601" y="190500"/>
              <a:ext cx="13468350" cy="7776000"/>
            </a:xfrm>
            <a:prstGeom prst="roundRect">
              <a:avLst>
                <a:gd name="adj" fmla="val 1112"/>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bg1"/>
                  </a:solidFill>
                  <a:latin typeface="Calibri"/>
                  <a:ea typeface="Calibri"/>
                  <a:cs typeface="Calibri"/>
                  <a:sym typeface="Calibri"/>
                </a:rPr>
                <a:t>`</a:t>
              </a:r>
              <a:endParaRPr sz="1400">
                <a:solidFill>
                  <a:schemeClr val="bg1"/>
                </a:solidFill>
              </a:endParaRPr>
            </a:p>
          </xdr:txBody>
        </xdr:sp>
        <xdr:sp macro="" textlink="">
          <xdr:nvSpPr>
            <xdr:cNvPr id="33" name="Shape 6">
              <a:extLst>
                <a:ext uri="{FF2B5EF4-FFF2-40B4-BE49-F238E27FC236}">
                  <a16:creationId xmlns:a16="http://schemas.microsoft.com/office/drawing/2014/main" id="{529BC90D-E2E3-61B9-C9E4-7B62A250D54B}"/>
                </a:ext>
              </a:extLst>
            </xdr:cNvPr>
            <xdr:cNvSpPr/>
          </xdr:nvSpPr>
          <xdr:spPr>
            <a:xfrm>
              <a:off x="1852449" y="270899"/>
              <a:ext cx="7691601" cy="834001"/>
            </a:xfrm>
            <a:prstGeom prst="roundRect">
              <a:avLst>
                <a:gd name="adj" fmla="val 10000"/>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l" rtl="0">
                <a:spcBef>
                  <a:spcPts val="0"/>
                </a:spcBef>
                <a:spcAft>
                  <a:spcPts val="0"/>
                </a:spcAft>
                <a:buNone/>
              </a:pPr>
              <a:endParaRPr sz="3800">
                <a:solidFill>
                  <a:schemeClr val="bg1"/>
                </a:solidFill>
                <a:latin typeface="Lato"/>
                <a:ea typeface="Lato"/>
                <a:cs typeface="Lato"/>
                <a:sym typeface="Lato"/>
              </a:endParaRPr>
            </a:p>
          </xdr:txBody>
        </xdr:sp>
        <xdr:sp macro="" textlink="">
          <xdr:nvSpPr>
            <xdr:cNvPr id="34" name="Shape 7">
              <a:extLst>
                <a:ext uri="{FF2B5EF4-FFF2-40B4-BE49-F238E27FC236}">
                  <a16:creationId xmlns:a16="http://schemas.microsoft.com/office/drawing/2014/main" id="{5E8CD193-ACF4-4536-46EF-8FDEB95B5F21}"/>
                </a:ext>
              </a:extLst>
            </xdr:cNvPr>
            <xdr:cNvSpPr/>
          </xdr:nvSpPr>
          <xdr:spPr>
            <a:xfrm>
              <a:off x="9658350" y="239960"/>
              <a:ext cx="5467351" cy="834001"/>
            </a:xfrm>
            <a:prstGeom prst="roundRect">
              <a:avLst>
                <a:gd name="adj" fmla="val 10000"/>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35" name="Shape 8">
              <a:extLst>
                <a:ext uri="{FF2B5EF4-FFF2-40B4-BE49-F238E27FC236}">
                  <a16:creationId xmlns:a16="http://schemas.microsoft.com/office/drawing/2014/main" id="{C9F4F0C5-D2A9-8E7E-D1B2-D97EC5D83FE2}"/>
                </a:ext>
              </a:extLst>
            </xdr:cNvPr>
            <xdr:cNvSpPr/>
          </xdr:nvSpPr>
          <xdr:spPr>
            <a:xfrm>
              <a:off x="5801900" y="2315208"/>
              <a:ext cx="4819651" cy="2772878"/>
            </a:xfrm>
            <a:prstGeom prst="roundRect">
              <a:avLst>
                <a:gd name="adj" fmla="val 3303"/>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grpSp>
          <xdr:nvGrpSpPr>
            <xdr:cNvPr id="36" name="Shape 9">
              <a:extLst>
                <a:ext uri="{FF2B5EF4-FFF2-40B4-BE49-F238E27FC236}">
                  <a16:creationId xmlns:a16="http://schemas.microsoft.com/office/drawing/2014/main" id="{A87A1544-E89F-E9F6-D0A7-20B7BF9AFCC7}"/>
                </a:ext>
              </a:extLst>
            </xdr:cNvPr>
            <xdr:cNvGrpSpPr/>
          </xdr:nvGrpSpPr>
          <xdr:grpSpPr>
            <a:xfrm>
              <a:off x="1846116" y="1215714"/>
              <a:ext cx="13289109" cy="998848"/>
              <a:chOff x="1846116" y="1215714"/>
              <a:chExt cx="13403409" cy="998848"/>
            </a:xfrm>
            <a:grpFill/>
          </xdr:grpSpPr>
          <xdr:sp macro="" textlink="">
            <xdr:nvSpPr>
              <xdr:cNvPr id="51" name="Shape 10">
                <a:extLst>
                  <a:ext uri="{FF2B5EF4-FFF2-40B4-BE49-F238E27FC236}">
                    <a16:creationId xmlns:a16="http://schemas.microsoft.com/office/drawing/2014/main" id="{0CAA41DA-9843-3B2F-380B-722AEBEE7666}"/>
                  </a:ext>
                </a:extLst>
              </xdr:cNvPr>
              <xdr:cNvSpPr/>
            </xdr:nvSpPr>
            <xdr:spPr>
              <a:xfrm>
                <a:off x="1846116"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52" name="Shape 11">
                <a:extLst>
                  <a:ext uri="{FF2B5EF4-FFF2-40B4-BE49-F238E27FC236}">
                    <a16:creationId xmlns:a16="http://schemas.microsoft.com/office/drawing/2014/main" id="{BD2C4544-BC24-0923-5F79-F78E0C8E7325}"/>
                  </a:ext>
                </a:extLst>
              </xdr:cNvPr>
              <xdr:cNvSpPr/>
            </xdr:nvSpPr>
            <xdr:spPr>
              <a:xfrm>
                <a:off x="4546454"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53" name="Shape 12">
                <a:extLst>
                  <a:ext uri="{FF2B5EF4-FFF2-40B4-BE49-F238E27FC236}">
                    <a16:creationId xmlns:a16="http://schemas.microsoft.com/office/drawing/2014/main" id="{8BF8D14B-93BF-F7D5-709D-A5F13AAE1593}"/>
                  </a:ext>
                </a:extLst>
              </xdr:cNvPr>
              <xdr:cNvSpPr/>
            </xdr:nvSpPr>
            <xdr:spPr>
              <a:xfrm>
                <a:off x="7246792"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54" name="Shape 13">
                <a:extLst>
                  <a:ext uri="{FF2B5EF4-FFF2-40B4-BE49-F238E27FC236}">
                    <a16:creationId xmlns:a16="http://schemas.microsoft.com/office/drawing/2014/main" id="{7BC9B68F-9C1F-D016-E434-31BAC6E6FE61}"/>
                  </a:ext>
                </a:extLst>
              </xdr:cNvPr>
              <xdr:cNvSpPr/>
            </xdr:nvSpPr>
            <xdr:spPr>
              <a:xfrm>
                <a:off x="9947130"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55" name="Shape 14">
                <a:extLst>
                  <a:ext uri="{FF2B5EF4-FFF2-40B4-BE49-F238E27FC236}">
                    <a16:creationId xmlns:a16="http://schemas.microsoft.com/office/drawing/2014/main" id="{EE0A400E-6331-1022-851A-0D9687ED06E1}"/>
                  </a:ext>
                </a:extLst>
              </xdr:cNvPr>
              <xdr:cNvSpPr/>
            </xdr:nvSpPr>
            <xdr:spPr>
              <a:xfrm>
                <a:off x="12647467"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grpSp>
        <xdr:grpSp>
          <xdr:nvGrpSpPr>
            <xdr:cNvPr id="37" name="Shape 15">
              <a:extLst>
                <a:ext uri="{FF2B5EF4-FFF2-40B4-BE49-F238E27FC236}">
                  <a16:creationId xmlns:a16="http://schemas.microsoft.com/office/drawing/2014/main" id="{613BC36A-6118-D8B3-DAA5-C03F805D9EA5}"/>
                </a:ext>
              </a:extLst>
            </xdr:cNvPr>
            <xdr:cNvGrpSpPr/>
          </xdr:nvGrpSpPr>
          <xdr:grpSpPr>
            <a:xfrm>
              <a:off x="1847145" y="5162550"/>
              <a:ext cx="3867930" cy="2709509"/>
              <a:chOff x="1847145" y="2304895"/>
              <a:chExt cx="3867930" cy="2772878"/>
            </a:xfrm>
            <a:grpFill/>
          </xdr:grpSpPr>
          <xdr:sp macro="" textlink="">
            <xdr:nvSpPr>
              <xdr:cNvPr id="49" name="Shape 16">
                <a:extLst>
                  <a:ext uri="{FF2B5EF4-FFF2-40B4-BE49-F238E27FC236}">
                    <a16:creationId xmlns:a16="http://schemas.microsoft.com/office/drawing/2014/main" id="{E41993A0-CFC1-A118-48BA-6A37EE32EF16}"/>
                  </a:ext>
                </a:extLst>
              </xdr:cNvPr>
              <xdr:cNvSpPr/>
            </xdr:nvSpPr>
            <xdr:spPr>
              <a:xfrm>
                <a:off x="1847145" y="2304895"/>
                <a:ext cx="3867930" cy="2772878"/>
              </a:xfrm>
              <a:prstGeom prst="roundRect">
                <a:avLst>
                  <a:gd name="adj" fmla="val 3303"/>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50" name="Shape 17">
                <a:extLst>
                  <a:ext uri="{FF2B5EF4-FFF2-40B4-BE49-F238E27FC236}">
                    <a16:creationId xmlns:a16="http://schemas.microsoft.com/office/drawing/2014/main" id="{89118F9B-38F3-F507-D57F-59D8F049394E}"/>
                  </a:ext>
                </a:extLst>
              </xdr:cNvPr>
              <xdr:cNvCxnSpPr/>
            </xdr:nvCxnSpPr>
            <xdr:spPr>
              <a:xfrm rot="10800000" flipH="1">
                <a:off x="1963706" y="2678637"/>
                <a:ext cx="3608419" cy="5300"/>
              </a:xfrm>
              <a:prstGeom prst="straightConnector1">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cxnSp>
        </xdr:grpSp>
        <xdr:cxnSp macro="">
          <xdr:nvCxnSpPr>
            <xdr:cNvPr id="38" name="Shape 18">
              <a:extLst>
                <a:ext uri="{FF2B5EF4-FFF2-40B4-BE49-F238E27FC236}">
                  <a16:creationId xmlns:a16="http://schemas.microsoft.com/office/drawing/2014/main" id="{446AD058-B276-3414-5070-3DAE0F47F2D4}"/>
                </a:ext>
              </a:extLst>
            </xdr:cNvPr>
            <xdr:cNvCxnSpPr/>
          </xdr:nvCxnSpPr>
          <xdr:spPr>
            <a:xfrm flipH="1">
              <a:off x="6021356" y="2667000"/>
              <a:ext cx="4464000" cy="2650"/>
            </a:xfrm>
            <a:prstGeom prst="straightConnector1">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cxnSp>
        <xdr:sp macro="" textlink="">
          <xdr:nvSpPr>
            <xdr:cNvPr id="39" name="Shape 19">
              <a:extLst>
                <a:ext uri="{FF2B5EF4-FFF2-40B4-BE49-F238E27FC236}">
                  <a16:creationId xmlns:a16="http://schemas.microsoft.com/office/drawing/2014/main" id="{E8B69F7C-5205-FE4D-53DA-4CFE1A7EE2CD}"/>
                </a:ext>
              </a:extLst>
            </xdr:cNvPr>
            <xdr:cNvSpPr/>
          </xdr:nvSpPr>
          <xdr:spPr>
            <a:xfrm>
              <a:off x="10744199" y="2304895"/>
              <a:ext cx="4381501" cy="2772878"/>
            </a:xfrm>
            <a:prstGeom prst="roundRect">
              <a:avLst>
                <a:gd name="adj" fmla="val 3303"/>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40" name="Shape 20">
              <a:extLst>
                <a:ext uri="{FF2B5EF4-FFF2-40B4-BE49-F238E27FC236}">
                  <a16:creationId xmlns:a16="http://schemas.microsoft.com/office/drawing/2014/main" id="{56117EC3-18BE-FED4-1FBE-1BBF0D6DF628}"/>
                </a:ext>
              </a:extLst>
            </xdr:cNvPr>
            <xdr:cNvCxnSpPr/>
          </xdr:nvCxnSpPr>
          <xdr:spPr>
            <a:xfrm rot="10800000" flipH="1">
              <a:off x="10917205" y="2678637"/>
              <a:ext cx="4068000" cy="5300"/>
            </a:xfrm>
            <a:prstGeom prst="straightConnector1">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cxnSp>
        <xdr:sp macro="" textlink="">
          <xdr:nvSpPr>
            <xdr:cNvPr id="41" name="Shape 21">
              <a:extLst>
                <a:ext uri="{FF2B5EF4-FFF2-40B4-BE49-F238E27FC236}">
                  <a16:creationId xmlns:a16="http://schemas.microsoft.com/office/drawing/2014/main" id="{658C9B0D-CAFA-F768-76E2-5B57ECFA5BBB}"/>
                </a:ext>
              </a:extLst>
            </xdr:cNvPr>
            <xdr:cNvSpPr/>
          </xdr:nvSpPr>
          <xdr:spPr>
            <a:xfrm>
              <a:off x="1847145" y="2314575"/>
              <a:ext cx="3867930" cy="2754668"/>
            </a:xfrm>
            <a:prstGeom prst="roundRect">
              <a:avLst>
                <a:gd name="adj" fmla="val 3303"/>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42" name="Shape 22">
              <a:extLst>
                <a:ext uri="{FF2B5EF4-FFF2-40B4-BE49-F238E27FC236}">
                  <a16:creationId xmlns:a16="http://schemas.microsoft.com/office/drawing/2014/main" id="{7B318186-9DE9-7A31-7654-7F45FE983240}"/>
                </a:ext>
              </a:extLst>
            </xdr:cNvPr>
            <xdr:cNvCxnSpPr/>
          </xdr:nvCxnSpPr>
          <xdr:spPr>
            <a:xfrm rot="10800000" flipH="1">
              <a:off x="1963706" y="2666813"/>
              <a:ext cx="3608419" cy="5265"/>
            </a:xfrm>
            <a:prstGeom prst="straightConnector1">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cxnSp>
        <xdr:sp macro="" textlink="">
          <xdr:nvSpPr>
            <xdr:cNvPr id="43" name="Shape 23">
              <a:extLst>
                <a:ext uri="{FF2B5EF4-FFF2-40B4-BE49-F238E27FC236}">
                  <a16:creationId xmlns:a16="http://schemas.microsoft.com/office/drawing/2014/main" id="{06214440-CB7F-213F-A463-F64504FB12CA}"/>
                </a:ext>
              </a:extLst>
            </xdr:cNvPr>
            <xdr:cNvSpPr/>
          </xdr:nvSpPr>
          <xdr:spPr>
            <a:xfrm>
              <a:off x="5809545" y="5162550"/>
              <a:ext cx="3564000" cy="2709509"/>
            </a:xfrm>
            <a:prstGeom prst="roundRect">
              <a:avLst>
                <a:gd name="adj" fmla="val 3303"/>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44" name="Shape 24">
              <a:extLst>
                <a:ext uri="{FF2B5EF4-FFF2-40B4-BE49-F238E27FC236}">
                  <a16:creationId xmlns:a16="http://schemas.microsoft.com/office/drawing/2014/main" id="{0D7E0F14-3CB0-6618-E9F9-299D59F58CD6}"/>
                </a:ext>
              </a:extLst>
            </xdr:cNvPr>
            <xdr:cNvCxnSpPr/>
          </xdr:nvCxnSpPr>
          <xdr:spPr>
            <a:xfrm rot="10800000" flipH="1">
              <a:off x="6009569" y="5524500"/>
              <a:ext cx="3096000" cy="5179"/>
            </a:xfrm>
            <a:prstGeom prst="straightConnector1">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cxnSp>
        <xdr:sp macro="" textlink="">
          <xdr:nvSpPr>
            <xdr:cNvPr id="45" name="Shape 25">
              <a:extLst>
                <a:ext uri="{FF2B5EF4-FFF2-40B4-BE49-F238E27FC236}">
                  <a16:creationId xmlns:a16="http://schemas.microsoft.com/office/drawing/2014/main" id="{19D39933-3103-D9C4-51C6-174402C3D126}"/>
                </a:ext>
              </a:extLst>
            </xdr:cNvPr>
            <xdr:cNvSpPr/>
          </xdr:nvSpPr>
          <xdr:spPr>
            <a:xfrm>
              <a:off x="9467145" y="5162550"/>
              <a:ext cx="2844000" cy="2700000"/>
            </a:xfrm>
            <a:prstGeom prst="roundRect">
              <a:avLst>
                <a:gd name="adj" fmla="val 3303"/>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46" name="Shape 26">
              <a:extLst>
                <a:ext uri="{FF2B5EF4-FFF2-40B4-BE49-F238E27FC236}">
                  <a16:creationId xmlns:a16="http://schemas.microsoft.com/office/drawing/2014/main" id="{AA71E4C0-732D-82E6-9665-201F3C775EFE}"/>
                </a:ext>
              </a:extLst>
            </xdr:cNvPr>
            <xdr:cNvCxnSpPr/>
          </xdr:nvCxnSpPr>
          <xdr:spPr>
            <a:xfrm rot="10800000" flipH="1">
              <a:off x="9686219" y="5524500"/>
              <a:ext cx="2448000" cy="5179"/>
            </a:xfrm>
            <a:prstGeom prst="straightConnector1">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cxnSp>
        <xdr:sp macro="" textlink="">
          <xdr:nvSpPr>
            <xdr:cNvPr id="47" name="Shape 27">
              <a:extLst>
                <a:ext uri="{FF2B5EF4-FFF2-40B4-BE49-F238E27FC236}">
                  <a16:creationId xmlns:a16="http://schemas.microsoft.com/office/drawing/2014/main" id="{A0451E27-607B-4A83-3365-AEA798C36FC5}"/>
                </a:ext>
              </a:extLst>
            </xdr:cNvPr>
            <xdr:cNvSpPr/>
          </xdr:nvSpPr>
          <xdr:spPr>
            <a:xfrm>
              <a:off x="12419895" y="5162550"/>
              <a:ext cx="2700000" cy="2700000"/>
            </a:xfrm>
            <a:prstGeom prst="roundRect">
              <a:avLst>
                <a:gd name="adj" fmla="val 3303"/>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48" name="Shape 28">
              <a:extLst>
                <a:ext uri="{FF2B5EF4-FFF2-40B4-BE49-F238E27FC236}">
                  <a16:creationId xmlns:a16="http://schemas.microsoft.com/office/drawing/2014/main" id="{FC6B74B8-52A1-85A7-B202-E35F14087C55}"/>
                </a:ext>
              </a:extLst>
            </xdr:cNvPr>
            <xdr:cNvCxnSpPr/>
          </xdr:nvCxnSpPr>
          <xdr:spPr>
            <a:xfrm rot="10800000" flipH="1">
              <a:off x="12543719" y="5514975"/>
              <a:ext cx="2448000" cy="5179"/>
            </a:xfrm>
            <a:prstGeom prst="straightConnector1">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cxnSp>
        <xdr:sp macro="" textlink="">
          <xdr:nvSpPr>
            <xdr:cNvPr id="56" name="Shape 6">
              <a:extLst>
                <a:ext uri="{FF2B5EF4-FFF2-40B4-BE49-F238E27FC236}">
                  <a16:creationId xmlns:a16="http://schemas.microsoft.com/office/drawing/2014/main" id="{0A9A5D8F-8CAF-17C4-29E2-8CD95559E76B}"/>
                </a:ext>
              </a:extLst>
            </xdr:cNvPr>
            <xdr:cNvSpPr/>
          </xdr:nvSpPr>
          <xdr:spPr>
            <a:xfrm>
              <a:off x="1825637" y="270899"/>
              <a:ext cx="7691601" cy="834001"/>
            </a:xfrm>
            <a:prstGeom prst="roundRect">
              <a:avLst>
                <a:gd name="adj" fmla="val 10000"/>
              </a:avLst>
            </a:prstGeom>
            <a:grpFill/>
            <a:ln w="3175" cap="flat" cmpd="sng">
              <a:no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l" rtl="0">
                <a:spcBef>
                  <a:spcPts val="0"/>
                </a:spcBef>
                <a:spcAft>
                  <a:spcPts val="0"/>
                </a:spcAft>
                <a:buNone/>
              </a:pPr>
              <a:endParaRPr sz="3800">
                <a:solidFill>
                  <a:schemeClr val="bg1"/>
                </a:solidFill>
                <a:latin typeface="Lato"/>
                <a:ea typeface="Lato"/>
                <a:cs typeface="Lato"/>
                <a:sym typeface="Lato"/>
              </a:endParaRPr>
            </a:p>
          </xdr:txBody>
        </xdr:sp>
        <xdr:sp macro="" textlink="">
          <xdr:nvSpPr>
            <xdr:cNvPr id="64" name="Shape 6">
              <a:extLst>
                <a:ext uri="{FF2B5EF4-FFF2-40B4-BE49-F238E27FC236}">
                  <a16:creationId xmlns:a16="http://schemas.microsoft.com/office/drawing/2014/main" id="{D75EAB9A-4CF7-C16C-E306-972112DC265E}"/>
                </a:ext>
              </a:extLst>
            </xdr:cNvPr>
            <xdr:cNvSpPr/>
          </xdr:nvSpPr>
          <xdr:spPr>
            <a:xfrm>
              <a:off x="1852449" y="270899"/>
              <a:ext cx="7691601" cy="834001"/>
            </a:xfrm>
            <a:prstGeom prst="roundRect">
              <a:avLst>
                <a:gd name="adj" fmla="val 10000"/>
              </a:avLst>
            </a:prstGeom>
            <a:grpFill/>
            <a:ln w="12700" cap="flat" cmpd="sng">
              <a:solidFill>
                <a:srgbClr val="7F7F7F"/>
              </a:solidFill>
              <a:prstDash val="solid"/>
              <a:miter lim="800000"/>
              <a:headEnd type="none" w="sm" len="sm"/>
              <a:tailEnd type="none" w="sm" len="sm"/>
            </a:ln>
          </xdr:spPr>
          <xdr:style>
            <a:lnRef idx="0">
              <a:scrgbClr r="0" g="0" b="0"/>
            </a:lnRef>
            <a:fillRef idx="1002">
              <a:schemeClr val="dk1"/>
            </a:fillRef>
            <a:effectRef idx="0">
              <a:scrgbClr r="0" g="0" b="0"/>
            </a:effectRef>
            <a:fontRef idx="major"/>
          </xdr:style>
          <xdr:txBody>
            <a:bodyPr spcFirstLastPara="1" wrap="square" lIns="91425" tIns="45700" rIns="91425" bIns="45700" anchor="ctr" anchorCtr="0">
              <a:noAutofit/>
            </a:bodyPr>
            <a:lstStyle/>
            <a:p>
              <a:pPr marL="0" lvl="0" indent="0" algn="l" rtl="0">
                <a:spcBef>
                  <a:spcPts val="0"/>
                </a:spcBef>
                <a:spcAft>
                  <a:spcPts val="0"/>
                </a:spcAft>
                <a:buNone/>
              </a:pPr>
              <a:endParaRPr sz="3800">
                <a:solidFill>
                  <a:schemeClr val="bg1"/>
                </a:solidFill>
                <a:latin typeface="Lato"/>
                <a:ea typeface="Lato"/>
                <a:cs typeface="Lato"/>
                <a:sym typeface="Lato"/>
              </a:endParaRPr>
            </a:p>
          </xdr:txBody>
        </xdr:sp>
      </xdr:grpSp>
    </xdr:grpSp>
    <xdr:clientData fLocksWithSheet="0"/>
  </xdr:oneCellAnchor>
  <xdr:twoCellAnchor>
    <xdr:from>
      <xdr:col>0</xdr:col>
      <xdr:colOff>438150</xdr:colOff>
      <xdr:row>6</xdr:row>
      <xdr:rowOff>57150</xdr:rowOff>
    </xdr:from>
    <xdr:to>
      <xdr:col>4</xdr:col>
      <xdr:colOff>552450</xdr:colOff>
      <xdr:row>7</xdr:row>
      <xdr:rowOff>152400</xdr:rowOff>
    </xdr:to>
    <xdr:sp macro="" textlink="">
      <xdr:nvSpPr>
        <xdr:cNvPr id="66" name="TextBox 65">
          <a:extLst>
            <a:ext uri="{FF2B5EF4-FFF2-40B4-BE49-F238E27FC236}">
              <a16:creationId xmlns:a16="http://schemas.microsoft.com/office/drawing/2014/main" id="{C22FF51D-D750-E59D-089E-186B701337C8}"/>
            </a:ext>
          </a:extLst>
        </xdr:cNvPr>
        <xdr:cNvSpPr txBox="1"/>
      </xdr:nvSpPr>
      <xdr:spPr>
        <a:xfrm>
          <a:off x="438150" y="1200150"/>
          <a:ext cx="2552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92D050"/>
              </a:solidFill>
            </a:rPr>
            <a:t>Total</a:t>
          </a:r>
          <a:r>
            <a:rPr lang="en-US" sz="1200" b="1">
              <a:solidFill>
                <a:schemeClr val="bg1"/>
              </a:solidFill>
            </a:rPr>
            <a:t> </a:t>
          </a:r>
          <a:r>
            <a:rPr lang="en-US" sz="1200" b="1">
              <a:solidFill>
                <a:srgbClr val="92D050"/>
              </a:solidFill>
            </a:rPr>
            <a:t>Employees</a:t>
          </a:r>
        </a:p>
      </xdr:txBody>
    </xdr:sp>
    <xdr:clientData/>
  </xdr:twoCellAnchor>
  <xdr:twoCellAnchor>
    <xdr:from>
      <xdr:col>1</xdr:col>
      <xdr:colOff>590550</xdr:colOff>
      <xdr:row>8</xdr:row>
      <xdr:rowOff>123826</xdr:rowOff>
    </xdr:from>
    <xdr:to>
      <xdr:col>3</xdr:col>
      <xdr:colOff>333375</xdr:colOff>
      <xdr:row>10</xdr:row>
      <xdr:rowOff>66676</xdr:rowOff>
    </xdr:to>
    <xdr:sp macro="" textlink="KPI!A5">
      <xdr:nvSpPr>
        <xdr:cNvPr id="2" name="TextBox 1">
          <a:extLst>
            <a:ext uri="{FF2B5EF4-FFF2-40B4-BE49-F238E27FC236}">
              <a16:creationId xmlns:a16="http://schemas.microsoft.com/office/drawing/2014/main" id="{C2853F4F-69B5-28EF-BF6C-6E27FD305A62}"/>
            </a:ext>
          </a:extLst>
        </xdr:cNvPr>
        <xdr:cNvSpPr txBox="1"/>
      </xdr:nvSpPr>
      <xdr:spPr>
        <a:xfrm>
          <a:off x="1200150" y="1647826"/>
          <a:ext cx="9620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1470</a:t>
          </a:r>
        </a:p>
      </xdr:txBody>
    </xdr:sp>
    <xdr:clientData/>
  </xdr:twoCellAnchor>
  <xdr:twoCellAnchor>
    <xdr:from>
      <xdr:col>5</xdr:col>
      <xdr:colOff>57150</xdr:colOff>
      <xdr:row>6</xdr:row>
      <xdr:rowOff>76200</xdr:rowOff>
    </xdr:from>
    <xdr:to>
      <xdr:col>9</xdr:col>
      <xdr:colOff>171450</xdr:colOff>
      <xdr:row>7</xdr:row>
      <xdr:rowOff>171450</xdr:rowOff>
    </xdr:to>
    <xdr:sp macro="" textlink="">
      <xdr:nvSpPr>
        <xdr:cNvPr id="3" name="TextBox 2">
          <a:extLst>
            <a:ext uri="{FF2B5EF4-FFF2-40B4-BE49-F238E27FC236}">
              <a16:creationId xmlns:a16="http://schemas.microsoft.com/office/drawing/2014/main" id="{20C8460C-63AA-3B5C-A161-B1E04139CC3A}"/>
            </a:ext>
          </a:extLst>
        </xdr:cNvPr>
        <xdr:cNvSpPr txBox="1"/>
      </xdr:nvSpPr>
      <xdr:spPr>
        <a:xfrm>
          <a:off x="3105150" y="1219200"/>
          <a:ext cx="2552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92D050"/>
              </a:solidFill>
            </a:rPr>
            <a:t>Attrition</a:t>
          </a:r>
        </a:p>
      </xdr:txBody>
    </xdr:sp>
    <xdr:clientData/>
  </xdr:twoCellAnchor>
  <xdr:twoCellAnchor>
    <xdr:from>
      <xdr:col>5</xdr:col>
      <xdr:colOff>438150</xdr:colOff>
      <xdr:row>8</xdr:row>
      <xdr:rowOff>142876</xdr:rowOff>
    </xdr:from>
    <xdr:to>
      <xdr:col>8</xdr:col>
      <xdr:colOff>466725</xdr:colOff>
      <xdr:row>10</xdr:row>
      <xdr:rowOff>85726</xdr:rowOff>
    </xdr:to>
    <xdr:sp macro="" textlink="KPI!B5">
      <xdr:nvSpPr>
        <xdr:cNvPr id="4" name="TextBox 3">
          <a:extLst>
            <a:ext uri="{FF2B5EF4-FFF2-40B4-BE49-F238E27FC236}">
              <a16:creationId xmlns:a16="http://schemas.microsoft.com/office/drawing/2014/main" id="{AB8D81F2-DBE1-61B9-7C49-6FD2B3AE80CA}"/>
            </a:ext>
          </a:extLst>
        </xdr:cNvPr>
        <xdr:cNvSpPr txBox="1"/>
      </xdr:nvSpPr>
      <xdr:spPr>
        <a:xfrm>
          <a:off x="3486150" y="1666876"/>
          <a:ext cx="18573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10C593-07ED-4358-A7B9-2772DAB4592D}" type="TxLink">
            <a:rPr lang="en-US" sz="1100" b="1" i="0" u="none" strike="noStrike">
              <a:solidFill>
                <a:schemeClr val="bg1"/>
              </a:solidFill>
              <a:latin typeface="Calibri"/>
              <a:cs typeface="Calibri"/>
            </a:rPr>
            <a:pPr algn="ctr"/>
            <a:t>237</a:t>
          </a:fld>
          <a:endParaRPr lang="en-US" sz="1100" b="1">
            <a:solidFill>
              <a:schemeClr val="bg1"/>
            </a:solidFill>
          </a:endParaRPr>
        </a:p>
      </xdr:txBody>
    </xdr:sp>
    <xdr:clientData/>
  </xdr:twoCellAnchor>
  <xdr:twoCellAnchor>
    <xdr:from>
      <xdr:col>10</xdr:col>
      <xdr:colOff>19050</xdr:colOff>
      <xdr:row>6</xdr:row>
      <xdr:rowOff>85725</xdr:rowOff>
    </xdr:from>
    <xdr:to>
      <xdr:col>14</xdr:col>
      <xdr:colOff>133350</xdr:colOff>
      <xdr:row>7</xdr:row>
      <xdr:rowOff>180975</xdr:rowOff>
    </xdr:to>
    <xdr:sp macro="" textlink="">
      <xdr:nvSpPr>
        <xdr:cNvPr id="5" name="TextBox 4">
          <a:extLst>
            <a:ext uri="{FF2B5EF4-FFF2-40B4-BE49-F238E27FC236}">
              <a16:creationId xmlns:a16="http://schemas.microsoft.com/office/drawing/2014/main" id="{FFEC9883-AB52-6F57-6841-8AEDD52C9EF4}"/>
            </a:ext>
          </a:extLst>
        </xdr:cNvPr>
        <xdr:cNvSpPr txBox="1"/>
      </xdr:nvSpPr>
      <xdr:spPr>
        <a:xfrm>
          <a:off x="6115050" y="1228725"/>
          <a:ext cx="2552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92D050"/>
              </a:solidFill>
            </a:rPr>
            <a:t>Active Employees</a:t>
          </a:r>
        </a:p>
      </xdr:txBody>
    </xdr:sp>
    <xdr:clientData/>
  </xdr:twoCellAnchor>
  <xdr:twoCellAnchor>
    <xdr:from>
      <xdr:col>10</xdr:col>
      <xdr:colOff>466725</xdr:colOff>
      <xdr:row>8</xdr:row>
      <xdr:rowOff>133351</xdr:rowOff>
    </xdr:from>
    <xdr:to>
      <xdr:col>13</xdr:col>
      <xdr:colOff>495300</xdr:colOff>
      <xdr:row>10</xdr:row>
      <xdr:rowOff>76201</xdr:rowOff>
    </xdr:to>
    <xdr:sp macro="" textlink="KPI!D5">
      <xdr:nvSpPr>
        <xdr:cNvPr id="6" name="TextBox 5">
          <a:extLst>
            <a:ext uri="{FF2B5EF4-FFF2-40B4-BE49-F238E27FC236}">
              <a16:creationId xmlns:a16="http://schemas.microsoft.com/office/drawing/2014/main" id="{4A704137-C902-B39D-EC23-5406AB18716D}"/>
            </a:ext>
          </a:extLst>
        </xdr:cNvPr>
        <xdr:cNvSpPr txBox="1"/>
      </xdr:nvSpPr>
      <xdr:spPr>
        <a:xfrm>
          <a:off x="6562725" y="1657351"/>
          <a:ext cx="18573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C0E4AB-93FF-46D3-8346-239B39491D22}" type="TxLink">
            <a:rPr lang="en-US" sz="1200" b="1" i="0" u="none" strike="noStrike">
              <a:solidFill>
                <a:schemeClr val="bg1"/>
              </a:solidFill>
              <a:latin typeface="Calibri"/>
              <a:cs typeface="Calibri"/>
            </a:rPr>
            <a:pPr algn="ctr"/>
            <a:t>1233</a:t>
          </a:fld>
          <a:endParaRPr lang="en-US" sz="1200" b="1">
            <a:solidFill>
              <a:schemeClr val="bg1"/>
            </a:solidFill>
          </a:endParaRPr>
        </a:p>
      </xdr:txBody>
    </xdr:sp>
    <xdr:clientData/>
  </xdr:twoCellAnchor>
  <xdr:twoCellAnchor>
    <xdr:from>
      <xdr:col>19</xdr:col>
      <xdr:colOff>104775</xdr:colOff>
      <xdr:row>6</xdr:row>
      <xdr:rowOff>95250</xdr:rowOff>
    </xdr:from>
    <xdr:to>
      <xdr:col>23</xdr:col>
      <xdr:colOff>219075</xdr:colOff>
      <xdr:row>8</xdr:row>
      <xdr:rowOff>0</xdr:rowOff>
    </xdr:to>
    <xdr:sp macro="" textlink="">
      <xdr:nvSpPr>
        <xdr:cNvPr id="7" name="TextBox 6">
          <a:extLst>
            <a:ext uri="{FF2B5EF4-FFF2-40B4-BE49-F238E27FC236}">
              <a16:creationId xmlns:a16="http://schemas.microsoft.com/office/drawing/2014/main" id="{24D70AF1-62F4-FE31-B864-21E06803BD8B}"/>
            </a:ext>
          </a:extLst>
        </xdr:cNvPr>
        <xdr:cNvSpPr txBox="1"/>
      </xdr:nvSpPr>
      <xdr:spPr>
        <a:xfrm>
          <a:off x="11687175" y="1238250"/>
          <a:ext cx="2552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92D050"/>
              </a:solidFill>
            </a:rPr>
            <a:t>Average Rate</a:t>
          </a:r>
        </a:p>
      </xdr:txBody>
    </xdr:sp>
    <xdr:clientData/>
  </xdr:twoCellAnchor>
  <xdr:twoCellAnchor>
    <xdr:from>
      <xdr:col>19</xdr:col>
      <xdr:colOff>447675</xdr:colOff>
      <xdr:row>8</xdr:row>
      <xdr:rowOff>114301</xdr:rowOff>
    </xdr:from>
    <xdr:to>
      <xdr:col>22</xdr:col>
      <xdr:colOff>476250</xdr:colOff>
      <xdr:row>10</xdr:row>
      <xdr:rowOff>57151</xdr:rowOff>
    </xdr:to>
    <xdr:sp macro="" textlink="KPI!C5">
      <xdr:nvSpPr>
        <xdr:cNvPr id="8" name="TextBox 7">
          <a:extLst>
            <a:ext uri="{FF2B5EF4-FFF2-40B4-BE49-F238E27FC236}">
              <a16:creationId xmlns:a16="http://schemas.microsoft.com/office/drawing/2014/main" id="{1DE2175B-EC6D-8FDB-10F6-0BF9BC224195}"/>
            </a:ext>
          </a:extLst>
        </xdr:cNvPr>
        <xdr:cNvSpPr txBox="1"/>
      </xdr:nvSpPr>
      <xdr:spPr>
        <a:xfrm>
          <a:off x="12030075" y="1638301"/>
          <a:ext cx="18573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2C5009-7497-4D7C-8D8E-78CE3DA1D126}" type="TxLink">
            <a:rPr lang="en-US" sz="1200" b="1" i="0" u="none" strike="noStrike">
              <a:solidFill>
                <a:schemeClr val="bg1"/>
              </a:solidFill>
              <a:latin typeface="Calibri"/>
              <a:cs typeface="Calibri"/>
            </a:rPr>
            <a:pPr algn="ctr"/>
            <a:t>37</a:t>
          </a:fld>
          <a:endParaRPr lang="en-US" sz="1200" b="1">
            <a:solidFill>
              <a:schemeClr val="bg1"/>
            </a:solidFill>
          </a:endParaRPr>
        </a:p>
      </xdr:txBody>
    </xdr:sp>
    <xdr:clientData/>
  </xdr:twoCellAnchor>
  <xdr:twoCellAnchor>
    <xdr:from>
      <xdr:col>14</xdr:col>
      <xdr:colOff>457200</xdr:colOff>
      <xdr:row>6</xdr:row>
      <xdr:rowOff>114300</xdr:rowOff>
    </xdr:from>
    <xdr:to>
      <xdr:col>18</xdr:col>
      <xdr:colOff>571500</xdr:colOff>
      <xdr:row>8</xdr:row>
      <xdr:rowOff>19050</xdr:rowOff>
    </xdr:to>
    <xdr:sp macro="" textlink="">
      <xdr:nvSpPr>
        <xdr:cNvPr id="9" name="TextBox 8">
          <a:extLst>
            <a:ext uri="{FF2B5EF4-FFF2-40B4-BE49-F238E27FC236}">
              <a16:creationId xmlns:a16="http://schemas.microsoft.com/office/drawing/2014/main" id="{83C5E3EE-F504-AC72-D705-7F5C17C721EB}"/>
            </a:ext>
          </a:extLst>
        </xdr:cNvPr>
        <xdr:cNvSpPr txBox="1"/>
      </xdr:nvSpPr>
      <xdr:spPr>
        <a:xfrm>
          <a:off x="8991600" y="1257300"/>
          <a:ext cx="2552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92D050"/>
              </a:solidFill>
            </a:rPr>
            <a:t>Attrition Rate</a:t>
          </a:r>
        </a:p>
      </xdr:txBody>
    </xdr:sp>
    <xdr:clientData/>
  </xdr:twoCellAnchor>
  <xdr:twoCellAnchor>
    <xdr:from>
      <xdr:col>15</xdr:col>
      <xdr:colOff>276226</xdr:colOff>
      <xdr:row>8</xdr:row>
      <xdr:rowOff>85725</xdr:rowOff>
    </xdr:from>
    <xdr:to>
      <xdr:col>18</xdr:col>
      <xdr:colOff>161926</xdr:colOff>
      <xdr:row>10</xdr:row>
      <xdr:rowOff>57151</xdr:rowOff>
    </xdr:to>
    <xdr:sp macro="" textlink="KPI!E5">
      <xdr:nvSpPr>
        <xdr:cNvPr id="10" name="TextBox 9">
          <a:extLst>
            <a:ext uri="{FF2B5EF4-FFF2-40B4-BE49-F238E27FC236}">
              <a16:creationId xmlns:a16="http://schemas.microsoft.com/office/drawing/2014/main" id="{41A8E210-D7FD-0C15-4420-AB9285241D9C}"/>
            </a:ext>
          </a:extLst>
        </xdr:cNvPr>
        <xdr:cNvSpPr txBox="1"/>
      </xdr:nvSpPr>
      <xdr:spPr>
        <a:xfrm>
          <a:off x="9420226" y="1609725"/>
          <a:ext cx="171450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376A16-76AD-4C55-A5C1-00B5BE06162D}" type="TxLink">
            <a:rPr lang="en-US" sz="1200" b="1" i="0" u="none" strike="noStrike">
              <a:solidFill>
                <a:schemeClr val="bg1"/>
              </a:solidFill>
              <a:latin typeface="Calibri"/>
              <a:cs typeface="Calibri"/>
            </a:rPr>
            <a:pPr algn="ctr"/>
            <a:t>16.12%</a:t>
          </a:fld>
          <a:endParaRPr lang="en-US" sz="1200" b="1">
            <a:solidFill>
              <a:schemeClr val="bg1"/>
            </a:solidFill>
          </a:endParaRPr>
        </a:p>
      </xdr:txBody>
    </xdr:sp>
    <xdr:clientData/>
  </xdr:twoCellAnchor>
  <xdr:twoCellAnchor editAs="oneCell">
    <xdr:from>
      <xdr:col>13</xdr:col>
      <xdr:colOff>457200</xdr:colOff>
      <xdr:row>5</xdr:row>
      <xdr:rowOff>180975</xdr:rowOff>
    </xdr:from>
    <xdr:to>
      <xdr:col>15</xdr:col>
      <xdr:colOff>152400</xdr:colOff>
      <xdr:row>10</xdr:row>
      <xdr:rowOff>142875</xdr:rowOff>
    </xdr:to>
    <xdr:pic>
      <xdr:nvPicPr>
        <xdr:cNvPr id="13" name="Graphic 12" descr="Boardroom with solid fill">
          <a:extLst>
            <a:ext uri="{FF2B5EF4-FFF2-40B4-BE49-F238E27FC236}">
              <a16:creationId xmlns:a16="http://schemas.microsoft.com/office/drawing/2014/main" id="{CB199781-2CC1-B564-7DC1-231CB59F7D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382000" y="1133475"/>
          <a:ext cx="914400" cy="914400"/>
        </a:xfrm>
        <a:prstGeom prst="rect">
          <a:avLst/>
        </a:prstGeom>
      </xdr:spPr>
    </xdr:pic>
    <xdr:clientData/>
  </xdr:twoCellAnchor>
  <xdr:twoCellAnchor editAs="oneCell">
    <xdr:from>
      <xdr:col>18</xdr:col>
      <xdr:colOff>273825</xdr:colOff>
      <xdr:row>6</xdr:row>
      <xdr:rowOff>35700</xdr:rowOff>
    </xdr:from>
    <xdr:to>
      <xdr:col>19</xdr:col>
      <xdr:colOff>476250</xdr:colOff>
      <xdr:row>10</xdr:row>
      <xdr:rowOff>85725</xdr:rowOff>
    </xdr:to>
    <xdr:pic>
      <xdr:nvPicPr>
        <xdr:cNvPr id="15" name="Graphic 14" descr="Mortgage with solid fill">
          <a:extLst>
            <a:ext uri="{FF2B5EF4-FFF2-40B4-BE49-F238E27FC236}">
              <a16:creationId xmlns:a16="http://schemas.microsoft.com/office/drawing/2014/main" id="{BE30B562-9BDE-53C8-C8A8-367F4C1F4A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246625" y="1178700"/>
          <a:ext cx="812025" cy="812025"/>
        </a:xfrm>
        <a:prstGeom prst="rect">
          <a:avLst/>
        </a:prstGeom>
      </xdr:spPr>
    </xdr:pic>
    <xdr:clientData/>
  </xdr:twoCellAnchor>
  <xdr:twoCellAnchor editAs="oneCell">
    <xdr:from>
      <xdr:col>22</xdr:col>
      <xdr:colOff>583350</xdr:colOff>
      <xdr:row>6</xdr:row>
      <xdr:rowOff>40425</xdr:rowOff>
    </xdr:from>
    <xdr:to>
      <xdr:col>24</xdr:col>
      <xdr:colOff>190500</xdr:colOff>
      <xdr:row>10</xdr:row>
      <xdr:rowOff>104775</xdr:rowOff>
    </xdr:to>
    <xdr:pic>
      <xdr:nvPicPr>
        <xdr:cNvPr id="19" name="Graphic 18" descr="Upward trend with solid fill">
          <a:extLst>
            <a:ext uri="{FF2B5EF4-FFF2-40B4-BE49-F238E27FC236}">
              <a16:creationId xmlns:a16="http://schemas.microsoft.com/office/drawing/2014/main" id="{D0256893-40AC-7E57-1B17-26891496CFB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994550" y="1183425"/>
          <a:ext cx="826350" cy="826350"/>
        </a:xfrm>
        <a:prstGeom prst="rect">
          <a:avLst/>
        </a:prstGeom>
      </xdr:spPr>
    </xdr:pic>
    <xdr:clientData/>
  </xdr:twoCellAnchor>
  <xdr:twoCellAnchor editAs="oneCell">
    <xdr:from>
      <xdr:col>4</xdr:col>
      <xdr:colOff>190425</xdr:colOff>
      <xdr:row>5</xdr:row>
      <xdr:rowOff>152325</xdr:rowOff>
    </xdr:from>
    <xdr:to>
      <xdr:col>5</xdr:col>
      <xdr:colOff>400050</xdr:colOff>
      <xdr:row>10</xdr:row>
      <xdr:rowOff>19050</xdr:rowOff>
    </xdr:to>
    <xdr:pic>
      <xdr:nvPicPr>
        <xdr:cNvPr id="21" name="Graphic 20" descr="Users with solid fill">
          <a:extLst>
            <a:ext uri="{FF2B5EF4-FFF2-40B4-BE49-F238E27FC236}">
              <a16:creationId xmlns:a16="http://schemas.microsoft.com/office/drawing/2014/main" id="{7CE11626-203A-C69D-F121-000C887446C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628825" y="1104825"/>
          <a:ext cx="819225" cy="819225"/>
        </a:xfrm>
        <a:prstGeom prst="rect">
          <a:avLst/>
        </a:prstGeom>
      </xdr:spPr>
    </xdr:pic>
    <xdr:clientData/>
  </xdr:twoCellAnchor>
  <xdr:twoCellAnchor editAs="oneCell">
    <xdr:from>
      <xdr:col>9</xdr:col>
      <xdr:colOff>26175</xdr:colOff>
      <xdr:row>5</xdr:row>
      <xdr:rowOff>169050</xdr:rowOff>
    </xdr:from>
    <xdr:to>
      <xdr:col>10</xdr:col>
      <xdr:colOff>330975</xdr:colOff>
      <xdr:row>10</xdr:row>
      <xdr:rowOff>130950</xdr:rowOff>
    </xdr:to>
    <xdr:pic>
      <xdr:nvPicPr>
        <xdr:cNvPr id="25" name="Graphic 24" descr="Body builder with solid fill">
          <a:extLst>
            <a:ext uri="{FF2B5EF4-FFF2-40B4-BE49-F238E27FC236}">
              <a16:creationId xmlns:a16="http://schemas.microsoft.com/office/drawing/2014/main" id="{BE3F9B81-A22E-C2AA-C613-ED655DEFF63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512575" y="931050"/>
          <a:ext cx="914400" cy="914400"/>
        </a:xfrm>
        <a:prstGeom prst="rect">
          <a:avLst/>
        </a:prstGeom>
      </xdr:spPr>
    </xdr:pic>
    <xdr:clientData/>
  </xdr:twoCellAnchor>
  <xdr:twoCellAnchor>
    <xdr:from>
      <xdr:col>2</xdr:col>
      <xdr:colOff>47624</xdr:colOff>
      <xdr:row>1</xdr:row>
      <xdr:rowOff>123825</xdr:rowOff>
    </xdr:from>
    <xdr:to>
      <xdr:col>14</xdr:col>
      <xdr:colOff>209549</xdr:colOff>
      <xdr:row>4</xdr:row>
      <xdr:rowOff>104775</xdr:rowOff>
    </xdr:to>
    <xdr:sp macro="" textlink="">
      <xdr:nvSpPr>
        <xdr:cNvPr id="26" name="TextBox 25">
          <a:extLst>
            <a:ext uri="{FF2B5EF4-FFF2-40B4-BE49-F238E27FC236}">
              <a16:creationId xmlns:a16="http://schemas.microsoft.com/office/drawing/2014/main" id="{40F01D75-6AA0-FD2B-938A-D0717E9C2F6E}"/>
            </a:ext>
          </a:extLst>
        </xdr:cNvPr>
        <xdr:cNvSpPr txBox="1"/>
      </xdr:nvSpPr>
      <xdr:spPr>
        <a:xfrm>
          <a:off x="1266824" y="314325"/>
          <a:ext cx="74771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bg1"/>
              </a:solidFill>
            </a:rPr>
            <a:t>         HR ANALYTICS DASHBOARD </a:t>
          </a:r>
        </a:p>
      </xdr:txBody>
    </xdr:sp>
    <xdr:clientData/>
  </xdr:twoCellAnchor>
  <xdr:twoCellAnchor>
    <xdr:from>
      <xdr:col>16</xdr:col>
      <xdr:colOff>590550</xdr:colOff>
      <xdr:row>2</xdr:row>
      <xdr:rowOff>38100</xdr:rowOff>
    </xdr:from>
    <xdr:to>
      <xdr:col>23</xdr:col>
      <xdr:colOff>504825</xdr:colOff>
      <xdr:row>5</xdr:row>
      <xdr:rowOff>95250</xdr:rowOff>
    </xdr:to>
    <xdr:sp macro="" textlink="">
      <xdr:nvSpPr>
        <xdr:cNvPr id="27" name="TextBox 26">
          <a:extLst>
            <a:ext uri="{FF2B5EF4-FFF2-40B4-BE49-F238E27FC236}">
              <a16:creationId xmlns:a16="http://schemas.microsoft.com/office/drawing/2014/main" id="{715002F9-3CEA-5029-7188-FD746652219E}"/>
            </a:ext>
          </a:extLst>
        </xdr:cNvPr>
        <xdr:cNvSpPr txBox="1"/>
      </xdr:nvSpPr>
      <xdr:spPr>
        <a:xfrm>
          <a:off x="10344150" y="228600"/>
          <a:ext cx="418147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effectLst/>
              <a:latin typeface="+mn-lt"/>
              <a:ea typeface="+mn-ea"/>
              <a:cs typeface="+mn-cs"/>
            </a:rPr>
            <a:t>     </a:t>
          </a:r>
          <a:r>
            <a:rPr lang="en-US" sz="1100">
              <a:solidFill>
                <a:srgbClr val="92D050"/>
              </a:solidFill>
              <a:effectLst/>
              <a:latin typeface="+mn-lt"/>
              <a:ea typeface="+mn-ea"/>
              <a:cs typeface="+mn-cs"/>
            </a:rPr>
            <a:t>Job</a:t>
          </a:r>
          <a:r>
            <a:rPr lang="en-US" sz="1100">
              <a:solidFill>
                <a:schemeClr val="bg1"/>
              </a:solidFill>
              <a:effectLst/>
              <a:latin typeface="+mn-lt"/>
              <a:ea typeface="+mn-ea"/>
              <a:cs typeface="+mn-cs"/>
            </a:rPr>
            <a:t> </a:t>
          </a:r>
          <a:endParaRPr lang="en-US">
            <a:solidFill>
              <a:schemeClr val="bg1"/>
            </a:solidFill>
            <a:effectLst/>
          </a:endParaRPr>
        </a:p>
        <a:p>
          <a:r>
            <a:rPr lang="en-US" sz="1100">
              <a:solidFill>
                <a:srgbClr val="92D050"/>
              </a:solidFill>
              <a:effectLst/>
              <a:latin typeface="+mn-lt"/>
              <a:ea typeface="+mn-ea"/>
              <a:cs typeface="+mn-cs"/>
            </a:rPr>
            <a:t>Satisfaction</a:t>
          </a:r>
          <a:endParaRPr lang="en-US">
            <a:solidFill>
              <a:srgbClr val="92D050"/>
            </a:solidFill>
            <a:effectLst/>
          </a:endParaRPr>
        </a:p>
        <a:p>
          <a:r>
            <a:rPr lang="en-US" sz="1100">
              <a:solidFill>
                <a:schemeClr val="dk1"/>
              </a:solidFill>
              <a:effectLst/>
              <a:latin typeface="+mn-lt"/>
              <a:ea typeface="+mn-ea"/>
              <a:cs typeface="+mn-cs"/>
            </a:rPr>
            <a:t>    </a:t>
          </a:r>
          <a:r>
            <a:rPr lang="en-US" sz="1100">
              <a:solidFill>
                <a:srgbClr val="92D050"/>
              </a:solidFill>
              <a:effectLst/>
              <a:latin typeface="+mn-lt"/>
              <a:ea typeface="+mn-ea"/>
              <a:cs typeface="+mn-cs"/>
            </a:rPr>
            <a:t>Rating</a:t>
          </a:r>
          <a:endParaRPr lang="en-US">
            <a:solidFill>
              <a:srgbClr val="92D050"/>
            </a:solidFill>
            <a:effectLst/>
          </a:endParaRPr>
        </a:p>
        <a:p>
          <a:pPr algn="l"/>
          <a:endParaRPr lang="en-US" sz="1100"/>
        </a:p>
      </xdr:txBody>
    </xdr:sp>
    <xdr:clientData/>
  </xdr:twoCellAnchor>
  <xdr:twoCellAnchor>
    <xdr:from>
      <xdr:col>18</xdr:col>
      <xdr:colOff>180974</xdr:colOff>
      <xdr:row>2</xdr:row>
      <xdr:rowOff>66675</xdr:rowOff>
    </xdr:from>
    <xdr:to>
      <xdr:col>20</xdr:col>
      <xdr:colOff>9525</xdr:colOff>
      <xdr:row>5</xdr:row>
      <xdr:rowOff>57150</xdr:rowOff>
    </xdr:to>
    <xdr:graphicFrame macro="">
      <xdr:nvGraphicFramePr>
        <xdr:cNvPr id="11" name="Chart 10">
          <a:extLst>
            <a:ext uri="{FF2B5EF4-FFF2-40B4-BE49-F238E27FC236}">
              <a16:creationId xmlns:a16="http://schemas.microsoft.com/office/drawing/2014/main" id="{9E411E91-3AAC-4648-8DFF-D45E2EE89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66676</xdr:colOff>
      <xdr:row>2</xdr:row>
      <xdr:rowOff>38100</xdr:rowOff>
    </xdr:from>
    <xdr:to>
      <xdr:col>23</xdr:col>
      <xdr:colOff>142876</xdr:colOff>
      <xdr:row>5</xdr:row>
      <xdr:rowOff>28575</xdr:rowOff>
    </xdr:to>
    <xdr:graphicFrame macro="">
      <xdr:nvGraphicFramePr>
        <xdr:cNvPr id="12" name="Chart 11">
          <a:extLst>
            <a:ext uri="{FF2B5EF4-FFF2-40B4-BE49-F238E27FC236}">
              <a16:creationId xmlns:a16="http://schemas.microsoft.com/office/drawing/2014/main" id="{686AF23F-2D03-46CB-AC4E-94FBE48B3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209550</xdr:colOff>
      <xdr:row>2</xdr:row>
      <xdr:rowOff>133350</xdr:rowOff>
    </xdr:from>
    <xdr:to>
      <xdr:col>23</xdr:col>
      <xdr:colOff>179265</xdr:colOff>
      <xdr:row>4</xdr:row>
      <xdr:rowOff>158750</xdr:rowOff>
    </xdr:to>
    <xdr:sp macro="" textlink="">
      <xdr:nvSpPr>
        <xdr:cNvPr id="214" name="Freeform: Shape 213">
          <a:extLst>
            <a:ext uri="{FF2B5EF4-FFF2-40B4-BE49-F238E27FC236}">
              <a16:creationId xmlns:a16="http://schemas.microsoft.com/office/drawing/2014/main" id="{1AB5335C-B53A-CF0E-D306-51577A5B55A1}"/>
            </a:ext>
          </a:extLst>
        </xdr:cNvPr>
        <xdr:cNvSpPr/>
      </xdr:nvSpPr>
      <xdr:spPr>
        <a:xfrm>
          <a:off x="13011150" y="895350"/>
          <a:ext cx="1188915" cy="215900"/>
        </a:xfrm>
        <a:custGeom>
          <a:avLst/>
          <a:gdLst>
            <a:gd name="connsiteX0" fmla="*/ 1172308 w 1398954"/>
            <a:gd name="connsiteY0" fmla="*/ 115827 h 492369"/>
            <a:gd name="connsiteX1" fmla="*/ 1137254 w 1398954"/>
            <a:gd name="connsiteY1" fmla="*/ 217325 h 492369"/>
            <a:gd name="connsiteX2" fmla="*/ 1023815 w 1398954"/>
            <a:gd name="connsiteY2" fmla="*/ 217324 h 492369"/>
            <a:gd name="connsiteX3" fmla="*/ 1115589 w 1398954"/>
            <a:gd name="connsiteY3" fmla="*/ 280052 h 492369"/>
            <a:gd name="connsiteX4" fmla="*/ 1080534 w 1398954"/>
            <a:gd name="connsiteY4" fmla="*/ 381549 h 492369"/>
            <a:gd name="connsiteX5" fmla="*/ 1172308 w 1398954"/>
            <a:gd name="connsiteY5" fmla="*/ 318820 h 492369"/>
            <a:gd name="connsiteX6" fmla="*/ 1264081 w 1398954"/>
            <a:gd name="connsiteY6" fmla="*/ 381549 h 492369"/>
            <a:gd name="connsiteX7" fmla="*/ 1229026 w 1398954"/>
            <a:gd name="connsiteY7" fmla="*/ 280052 h 492369"/>
            <a:gd name="connsiteX8" fmla="*/ 1320800 w 1398954"/>
            <a:gd name="connsiteY8" fmla="*/ 217324 h 492369"/>
            <a:gd name="connsiteX9" fmla="*/ 1207361 w 1398954"/>
            <a:gd name="connsiteY9" fmla="*/ 217325 h 492369"/>
            <a:gd name="connsiteX10" fmla="*/ 849923 w 1398954"/>
            <a:gd name="connsiteY10" fmla="*/ 115827 h 492369"/>
            <a:gd name="connsiteX11" fmla="*/ 814869 w 1398954"/>
            <a:gd name="connsiteY11" fmla="*/ 217325 h 492369"/>
            <a:gd name="connsiteX12" fmla="*/ 701430 w 1398954"/>
            <a:gd name="connsiteY12" fmla="*/ 217324 h 492369"/>
            <a:gd name="connsiteX13" fmla="*/ 793204 w 1398954"/>
            <a:gd name="connsiteY13" fmla="*/ 280052 h 492369"/>
            <a:gd name="connsiteX14" fmla="*/ 758149 w 1398954"/>
            <a:gd name="connsiteY14" fmla="*/ 381549 h 492369"/>
            <a:gd name="connsiteX15" fmla="*/ 849923 w 1398954"/>
            <a:gd name="connsiteY15" fmla="*/ 318820 h 492369"/>
            <a:gd name="connsiteX16" fmla="*/ 941696 w 1398954"/>
            <a:gd name="connsiteY16" fmla="*/ 381549 h 492369"/>
            <a:gd name="connsiteX17" fmla="*/ 906641 w 1398954"/>
            <a:gd name="connsiteY17" fmla="*/ 280052 h 492369"/>
            <a:gd name="connsiteX18" fmla="*/ 998415 w 1398954"/>
            <a:gd name="connsiteY18" fmla="*/ 217324 h 492369"/>
            <a:gd name="connsiteX19" fmla="*/ 884976 w 1398954"/>
            <a:gd name="connsiteY19" fmla="*/ 217325 h 492369"/>
            <a:gd name="connsiteX20" fmla="*/ 527538 w 1398954"/>
            <a:gd name="connsiteY20" fmla="*/ 115827 h 492369"/>
            <a:gd name="connsiteX21" fmla="*/ 492484 w 1398954"/>
            <a:gd name="connsiteY21" fmla="*/ 217325 h 492369"/>
            <a:gd name="connsiteX22" fmla="*/ 379045 w 1398954"/>
            <a:gd name="connsiteY22" fmla="*/ 217324 h 492369"/>
            <a:gd name="connsiteX23" fmla="*/ 470819 w 1398954"/>
            <a:gd name="connsiteY23" fmla="*/ 280052 h 492369"/>
            <a:gd name="connsiteX24" fmla="*/ 435764 w 1398954"/>
            <a:gd name="connsiteY24" fmla="*/ 381549 h 492369"/>
            <a:gd name="connsiteX25" fmla="*/ 527538 w 1398954"/>
            <a:gd name="connsiteY25" fmla="*/ 318820 h 492369"/>
            <a:gd name="connsiteX26" fmla="*/ 619311 w 1398954"/>
            <a:gd name="connsiteY26" fmla="*/ 381549 h 492369"/>
            <a:gd name="connsiteX27" fmla="*/ 584256 w 1398954"/>
            <a:gd name="connsiteY27" fmla="*/ 280052 h 492369"/>
            <a:gd name="connsiteX28" fmla="*/ 676030 w 1398954"/>
            <a:gd name="connsiteY28" fmla="*/ 217324 h 492369"/>
            <a:gd name="connsiteX29" fmla="*/ 562591 w 1398954"/>
            <a:gd name="connsiteY29" fmla="*/ 217325 h 492369"/>
            <a:gd name="connsiteX30" fmla="*/ 205153 w 1398954"/>
            <a:gd name="connsiteY30" fmla="*/ 115827 h 492369"/>
            <a:gd name="connsiteX31" fmla="*/ 170099 w 1398954"/>
            <a:gd name="connsiteY31" fmla="*/ 217325 h 492369"/>
            <a:gd name="connsiteX32" fmla="*/ 56660 w 1398954"/>
            <a:gd name="connsiteY32" fmla="*/ 217324 h 492369"/>
            <a:gd name="connsiteX33" fmla="*/ 148434 w 1398954"/>
            <a:gd name="connsiteY33" fmla="*/ 280052 h 492369"/>
            <a:gd name="connsiteX34" fmla="*/ 113379 w 1398954"/>
            <a:gd name="connsiteY34" fmla="*/ 381549 h 492369"/>
            <a:gd name="connsiteX35" fmla="*/ 205153 w 1398954"/>
            <a:gd name="connsiteY35" fmla="*/ 318820 h 492369"/>
            <a:gd name="connsiteX36" fmla="*/ 296926 w 1398954"/>
            <a:gd name="connsiteY36" fmla="*/ 381549 h 492369"/>
            <a:gd name="connsiteX37" fmla="*/ 261871 w 1398954"/>
            <a:gd name="connsiteY37" fmla="*/ 280052 h 492369"/>
            <a:gd name="connsiteX38" fmla="*/ 353645 w 1398954"/>
            <a:gd name="connsiteY38" fmla="*/ 217324 h 492369"/>
            <a:gd name="connsiteX39" fmla="*/ 240206 w 1398954"/>
            <a:gd name="connsiteY39" fmla="*/ 217325 h 492369"/>
            <a:gd name="connsiteX40" fmla="*/ 0 w 1398954"/>
            <a:gd name="connsiteY40" fmla="*/ 0 h 492369"/>
            <a:gd name="connsiteX41" fmla="*/ 1398954 w 1398954"/>
            <a:gd name="connsiteY41" fmla="*/ 0 h 492369"/>
            <a:gd name="connsiteX42" fmla="*/ 1398954 w 1398954"/>
            <a:gd name="connsiteY42" fmla="*/ 492369 h 492369"/>
            <a:gd name="connsiteX43" fmla="*/ 0 w 1398954"/>
            <a:gd name="connsiteY43" fmla="*/ 492369 h 4923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398954" h="492369">
              <a:moveTo>
                <a:pt x="1172308" y="115827"/>
              </a:moveTo>
              <a:lnTo>
                <a:pt x="1137254" y="217325"/>
              </a:lnTo>
              <a:lnTo>
                <a:pt x="1023815" y="217324"/>
              </a:lnTo>
              <a:lnTo>
                <a:pt x="1115589" y="280052"/>
              </a:lnTo>
              <a:lnTo>
                <a:pt x="1080534" y="381549"/>
              </a:lnTo>
              <a:lnTo>
                <a:pt x="1172308" y="318820"/>
              </a:lnTo>
              <a:lnTo>
                <a:pt x="1264081" y="381549"/>
              </a:lnTo>
              <a:lnTo>
                <a:pt x="1229026" y="280052"/>
              </a:lnTo>
              <a:lnTo>
                <a:pt x="1320800" y="217324"/>
              </a:lnTo>
              <a:lnTo>
                <a:pt x="1207361" y="217325"/>
              </a:lnTo>
              <a:close/>
              <a:moveTo>
                <a:pt x="849923" y="115827"/>
              </a:moveTo>
              <a:lnTo>
                <a:pt x="814869" y="217325"/>
              </a:lnTo>
              <a:lnTo>
                <a:pt x="701430" y="217324"/>
              </a:lnTo>
              <a:lnTo>
                <a:pt x="793204" y="280052"/>
              </a:lnTo>
              <a:lnTo>
                <a:pt x="758149" y="381549"/>
              </a:lnTo>
              <a:lnTo>
                <a:pt x="849923" y="318820"/>
              </a:lnTo>
              <a:lnTo>
                <a:pt x="941696" y="381549"/>
              </a:lnTo>
              <a:lnTo>
                <a:pt x="906641" y="280052"/>
              </a:lnTo>
              <a:lnTo>
                <a:pt x="998415" y="217324"/>
              </a:lnTo>
              <a:lnTo>
                <a:pt x="884976" y="217325"/>
              </a:lnTo>
              <a:close/>
              <a:moveTo>
                <a:pt x="527538" y="115827"/>
              </a:moveTo>
              <a:lnTo>
                <a:pt x="492484" y="217325"/>
              </a:lnTo>
              <a:lnTo>
                <a:pt x="379045" y="217324"/>
              </a:lnTo>
              <a:lnTo>
                <a:pt x="470819" y="280052"/>
              </a:lnTo>
              <a:lnTo>
                <a:pt x="435764" y="381549"/>
              </a:lnTo>
              <a:lnTo>
                <a:pt x="527538" y="318820"/>
              </a:lnTo>
              <a:lnTo>
                <a:pt x="619311" y="381549"/>
              </a:lnTo>
              <a:lnTo>
                <a:pt x="584256" y="280052"/>
              </a:lnTo>
              <a:lnTo>
                <a:pt x="676030" y="217324"/>
              </a:lnTo>
              <a:lnTo>
                <a:pt x="562591" y="217325"/>
              </a:lnTo>
              <a:close/>
              <a:moveTo>
                <a:pt x="205153" y="115827"/>
              </a:moveTo>
              <a:lnTo>
                <a:pt x="170099" y="217325"/>
              </a:lnTo>
              <a:lnTo>
                <a:pt x="56660" y="217324"/>
              </a:lnTo>
              <a:lnTo>
                <a:pt x="148434" y="280052"/>
              </a:lnTo>
              <a:lnTo>
                <a:pt x="113379" y="381549"/>
              </a:lnTo>
              <a:lnTo>
                <a:pt x="205153" y="318820"/>
              </a:lnTo>
              <a:lnTo>
                <a:pt x="296926" y="381549"/>
              </a:lnTo>
              <a:lnTo>
                <a:pt x="261871" y="280052"/>
              </a:lnTo>
              <a:lnTo>
                <a:pt x="353645" y="217324"/>
              </a:lnTo>
              <a:lnTo>
                <a:pt x="240206" y="217325"/>
              </a:lnTo>
              <a:close/>
              <a:moveTo>
                <a:pt x="0" y="0"/>
              </a:moveTo>
              <a:lnTo>
                <a:pt x="1398954" y="0"/>
              </a:lnTo>
              <a:lnTo>
                <a:pt x="1398954" y="492369"/>
              </a:lnTo>
              <a:lnTo>
                <a:pt x="0" y="492369"/>
              </a:lnTo>
              <a:close/>
            </a:path>
          </a:pathLst>
        </a:custGeom>
        <a:solidFill>
          <a:srgbClr val="001C54"/>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editAs="oneCell">
    <xdr:from>
      <xdr:col>15</xdr:col>
      <xdr:colOff>228600</xdr:colOff>
      <xdr:row>1</xdr:row>
      <xdr:rowOff>47625</xdr:rowOff>
    </xdr:from>
    <xdr:to>
      <xdr:col>16</xdr:col>
      <xdr:colOff>223158</xdr:colOff>
      <xdr:row>4</xdr:row>
      <xdr:rowOff>57151</xdr:rowOff>
    </xdr:to>
    <xdr:pic>
      <xdr:nvPicPr>
        <xdr:cNvPr id="16" name="Graphic 15" descr="Thumbs up sign outline">
          <a:extLst>
            <a:ext uri="{FF2B5EF4-FFF2-40B4-BE49-F238E27FC236}">
              <a16:creationId xmlns:a16="http://schemas.microsoft.com/office/drawing/2014/main" id="{6046BF2A-930A-E5A9-0F86-81B96560A5E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9372600" y="238125"/>
          <a:ext cx="604158" cy="581026"/>
        </a:xfrm>
        <a:prstGeom prst="rect">
          <a:avLst/>
        </a:prstGeom>
      </xdr:spPr>
    </xdr:pic>
    <xdr:clientData/>
  </xdr:twoCellAnchor>
  <xdr:twoCellAnchor editAs="oneCell">
    <xdr:from>
      <xdr:col>15</xdr:col>
      <xdr:colOff>209551</xdr:colOff>
      <xdr:row>2</xdr:row>
      <xdr:rowOff>133351</xdr:rowOff>
    </xdr:from>
    <xdr:to>
      <xdr:col>16</xdr:col>
      <xdr:colOff>304801</xdr:colOff>
      <xdr:row>6</xdr:row>
      <xdr:rowOff>76201</xdr:rowOff>
    </xdr:to>
    <xdr:pic>
      <xdr:nvPicPr>
        <xdr:cNvPr id="18" name="Graphic 17" descr="Rating 3 Star outline">
          <a:extLst>
            <a:ext uri="{FF2B5EF4-FFF2-40B4-BE49-F238E27FC236}">
              <a16:creationId xmlns:a16="http://schemas.microsoft.com/office/drawing/2014/main" id="{061281B8-7C17-F8CB-8BF8-9D6870F0B4E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353551" y="323851"/>
          <a:ext cx="704850" cy="704850"/>
        </a:xfrm>
        <a:prstGeom prst="rect">
          <a:avLst/>
        </a:prstGeom>
      </xdr:spPr>
    </xdr:pic>
    <xdr:clientData/>
  </xdr:twoCellAnchor>
  <xdr:twoCellAnchor>
    <xdr:from>
      <xdr:col>1</xdr:col>
      <xdr:colOff>247651</xdr:colOff>
      <xdr:row>14</xdr:row>
      <xdr:rowOff>77720</xdr:rowOff>
    </xdr:from>
    <xdr:to>
      <xdr:col>3</xdr:col>
      <xdr:colOff>495301</xdr:colOff>
      <xdr:row>23</xdr:row>
      <xdr:rowOff>37148</xdr:rowOff>
    </xdr:to>
    <xdr:graphicFrame macro="">
      <xdr:nvGraphicFramePr>
        <xdr:cNvPr id="24" name="Chart 23">
          <a:extLst>
            <a:ext uri="{FF2B5EF4-FFF2-40B4-BE49-F238E27FC236}">
              <a16:creationId xmlns:a16="http://schemas.microsoft.com/office/drawing/2014/main" id="{A5F08364-4B2C-4278-A1A7-5C5579738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485776</xdr:colOff>
      <xdr:row>14</xdr:row>
      <xdr:rowOff>104774</xdr:rowOff>
    </xdr:from>
    <xdr:to>
      <xdr:col>8</xdr:col>
      <xdr:colOff>142876</xdr:colOff>
      <xdr:row>23</xdr:row>
      <xdr:rowOff>9525</xdr:rowOff>
    </xdr:to>
    <xdr:graphicFrame macro="">
      <xdr:nvGraphicFramePr>
        <xdr:cNvPr id="28" name="Chart 27">
          <a:extLst>
            <a:ext uri="{FF2B5EF4-FFF2-40B4-BE49-F238E27FC236}">
              <a16:creationId xmlns:a16="http://schemas.microsoft.com/office/drawing/2014/main" id="{85EB2EAE-090D-4C89-B7EE-6A9EC9299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4</xdr:col>
      <xdr:colOff>600075</xdr:colOff>
      <xdr:row>17</xdr:row>
      <xdr:rowOff>170250</xdr:rowOff>
    </xdr:from>
    <xdr:to>
      <xdr:col>5</xdr:col>
      <xdr:colOff>539115</xdr:colOff>
      <xdr:row>20</xdr:row>
      <xdr:rowOff>147390</xdr:rowOff>
    </xdr:to>
    <xdr:pic>
      <xdr:nvPicPr>
        <xdr:cNvPr id="71" name="Graphic 70" descr="Male profile with solid fill">
          <a:extLst>
            <a:ext uri="{FF2B5EF4-FFF2-40B4-BE49-F238E27FC236}">
              <a16:creationId xmlns:a16="http://schemas.microsoft.com/office/drawing/2014/main" id="{8EE37098-08B5-C06C-60F0-FC5B860B41E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038475" y="3408750"/>
          <a:ext cx="548640" cy="548640"/>
        </a:xfrm>
        <a:prstGeom prst="rect">
          <a:avLst/>
        </a:prstGeom>
      </xdr:spPr>
    </xdr:pic>
    <xdr:clientData/>
  </xdr:twoCellAnchor>
  <xdr:twoCellAnchor editAs="oneCell">
    <xdr:from>
      <xdr:col>3</xdr:col>
      <xdr:colOff>483375</xdr:colOff>
      <xdr:row>17</xdr:row>
      <xdr:rowOff>160725</xdr:rowOff>
    </xdr:from>
    <xdr:to>
      <xdr:col>4</xdr:col>
      <xdr:colOff>422415</xdr:colOff>
      <xdr:row>20</xdr:row>
      <xdr:rowOff>137865</xdr:rowOff>
    </xdr:to>
    <xdr:pic>
      <xdr:nvPicPr>
        <xdr:cNvPr id="73" name="Graphic 72" descr="Female Profile with solid fill">
          <a:extLst>
            <a:ext uri="{FF2B5EF4-FFF2-40B4-BE49-F238E27FC236}">
              <a16:creationId xmlns:a16="http://schemas.microsoft.com/office/drawing/2014/main" id="{97027B62-6ADC-D73A-70DF-9B2946E03CD4}"/>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312175" y="3399225"/>
          <a:ext cx="548640" cy="548640"/>
        </a:xfrm>
        <a:prstGeom prst="rect">
          <a:avLst/>
        </a:prstGeom>
      </xdr:spPr>
    </xdr:pic>
    <xdr:clientData/>
  </xdr:twoCellAnchor>
  <xdr:twoCellAnchor>
    <xdr:from>
      <xdr:col>2</xdr:col>
      <xdr:colOff>190500</xdr:colOff>
      <xdr:row>18</xdr:row>
      <xdr:rowOff>19050</xdr:rowOff>
    </xdr:from>
    <xdr:to>
      <xdr:col>3</xdr:col>
      <xdr:colOff>28575</xdr:colOff>
      <xdr:row>19</xdr:row>
      <xdr:rowOff>95250</xdr:rowOff>
    </xdr:to>
    <xdr:sp macro="" textlink="Gender!B8">
      <xdr:nvSpPr>
        <xdr:cNvPr id="74" name="TextBox 73">
          <a:extLst>
            <a:ext uri="{FF2B5EF4-FFF2-40B4-BE49-F238E27FC236}">
              <a16:creationId xmlns:a16="http://schemas.microsoft.com/office/drawing/2014/main" id="{BE1B42C6-9F3C-4236-AFE0-B1A6C9B0A513}"/>
            </a:ext>
          </a:extLst>
        </xdr:cNvPr>
        <xdr:cNvSpPr txBox="1"/>
      </xdr:nvSpPr>
      <xdr:spPr>
        <a:xfrm>
          <a:off x="1409700" y="3448050"/>
          <a:ext cx="4476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2717D5-00B0-4865-93AE-B6731DDE23D4}" type="TxLink">
            <a:rPr lang="en-US" sz="1100" b="0" i="0" u="none" strike="noStrike">
              <a:solidFill>
                <a:schemeClr val="bg1"/>
              </a:solidFill>
              <a:latin typeface="Calibri"/>
              <a:cs typeface="Calibri"/>
            </a:rPr>
            <a:pPr/>
            <a:t>588</a:t>
          </a:fld>
          <a:endParaRPr lang="en-US" sz="1200" b="1">
            <a:solidFill>
              <a:schemeClr val="bg1"/>
            </a:solidFill>
          </a:endParaRPr>
        </a:p>
      </xdr:txBody>
    </xdr:sp>
    <xdr:clientData/>
  </xdr:twoCellAnchor>
  <xdr:twoCellAnchor>
    <xdr:from>
      <xdr:col>6</xdr:col>
      <xdr:colOff>419100</xdr:colOff>
      <xdr:row>18</xdr:row>
      <xdr:rowOff>66675</xdr:rowOff>
    </xdr:from>
    <xdr:to>
      <xdr:col>7</xdr:col>
      <xdr:colOff>257175</xdr:colOff>
      <xdr:row>19</xdr:row>
      <xdr:rowOff>142875</xdr:rowOff>
    </xdr:to>
    <xdr:sp macro="" textlink="Gender!B9">
      <xdr:nvSpPr>
        <xdr:cNvPr id="75" name="TextBox 74">
          <a:extLst>
            <a:ext uri="{FF2B5EF4-FFF2-40B4-BE49-F238E27FC236}">
              <a16:creationId xmlns:a16="http://schemas.microsoft.com/office/drawing/2014/main" id="{B645286C-3863-491F-8F74-2F1F489D1EEE}"/>
            </a:ext>
          </a:extLst>
        </xdr:cNvPr>
        <xdr:cNvSpPr txBox="1"/>
      </xdr:nvSpPr>
      <xdr:spPr>
        <a:xfrm>
          <a:off x="4076700" y="3495675"/>
          <a:ext cx="4476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54BD80-0FE1-4602-AA2F-3D82D99A2755}" type="TxLink">
            <a:rPr lang="en-US" sz="1200" b="1" i="0" u="none" strike="noStrike">
              <a:solidFill>
                <a:schemeClr val="bg1"/>
              </a:solidFill>
              <a:latin typeface="Calibri"/>
              <a:cs typeface="Calibri"/>
            </a:rPr>
            <a:pPr/>
            <a:t>882</a:t>
          </a:fld>
          <a:endParaRPr lang="en-US" sz="1200" b="1">
            <a:solidFill>
              <a:schemeClr val="bg1"/>
            </a:solidFill>
          </a:endParaRPr>
        </a:p>
      </xdr:txBody>
    </xdr:sp>
    <xdr:clientData/>
  </xdr:twoCellAnchor>
  <xdr:twoCellAnchor>
    <xdr:from>
      <xdr:col>1</xdr:col>
      <xdr:colOff>438150</xdr:colOff>
      <xdr:row>11</xdr:row>
      <xdr:rowOff>114300</xdr:rowOff>
    </xdr:from>
    <xdr:to>
      <xdr:col>8</xdr:col>
      <xdr:colOff>76200</xdr:colOff>
      <xdr:row>13</xdr:row>
      <xdr:rowOff>28575</xdr:rowOff>
    </xdr:to>
    <xdr:sp macro="" textlink="">
      <xdr:nvSpPr>
        <xdr:cNvPr id="78" name="TextBox 77">
          <a:extLst>
            <a:ext uri="{FF2B5EF4-FFF2-40B4-BE49-F238E27FC236}">
              <a16:creationId xmlns:a16="http://schemas.microsoft.com/office/drawing/2014/main" id="{0BA3EE32-00D5-5073-8B96-8B60C9FE554D}"/>
            </a:ext>
          </a:extLst>
        </xdr:cNvPr>
        <xdr:cNvSpPr txBox="1"/>
      </xdr:nvSpPr>
      <xdr:spPr>
        <a:xfrm>
          <a:off x="1047750" y="2019300"/>
          <a:ext cx="39052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Employees by Gender</a:t>
          </a:r>
        </a:p>
      </xdr:txBody>
    </xdr:sp>
    <xdr:clientData/>
  </xdr:twoCellAnchor>
  <xdr:twoCellAnchor editAs="oneCell">
    <xdr:from>
      <xdr:col>20</xdr:col>
      <xdr:colOff>9527</xdr:colOff>
      <xdr:row>35</xdr:row>
      <xdr:rowOff>9525</xdr:rowOff>
    </xdr:from>
    <xdr:to>
      <xdr:col>22</xdr:col>
      <xdr:colOff>228601</xdr:colOff>
      <xdr:row>38</xdr:row>
      <xdr:rowOff>28575</xdr:rowOff>
    </xdr:to>
    <mc:AlternateContent xmlns:mc="http://schemas.openxmlformats.org/markup-compatibility/2006" xmlns:a14="http://schemas.microsoft.com/office/drawing/2010/main">
      <mc:Choice Requires="a14">
        <xdr:graphicFrame macro="">
          <xdr:nvGraphicFramePr>
            <xdr:cNvPr id="79" name="Gender 3">
              <a:extLst>
                <a:ext uri="{FF2B5EF4-FFF2-40B4-BE49-F238E27FC236}">
                  <a16:creationId xmlns:a16="http://schemas.microsoft.com/office/drawing/2014/main" id="{69DB6045-C463-4FD6-852A-2F9DB7EF485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2201527" y="6677025"/>
              <a:ext cx="1438274"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257176</xdr:colOff>
      <xdr:row>13</xdr:row>
      <xdr:rowOff>76200</xdr:rowOff>
    </xdr:from>
    <xdr:to>
      <xdr:col>16</xdr:col>
      <xdr:colOff>200025</xdr:colOff>
      <xdr:row>24</xdr:row>
      <xdr:rowOff>66675</xdr:rowOff>
    </xdr:to>
    <xdr:graphicFrame macro="">
      <xdr:nvGraphicFramePr>
        <xdr:cNvPr id="80" name="Chart 79">
          <a:extLst>
            <a:ext uri="{FF2B5EF4-FFF2-40B4-BE49-F238E27FC236}">
              <a16:creationId xmlns:a16="http://schemas.microsoft.com/office/drawing/2014/main" id="{3ECDE1AF-1F10-4A1F-B6E2-E25B87924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342900</xdr:colOff>
      <xdr:row>11</xdr:row>
      <xdr:rowOff>104775</xdr:rowOff>
    </xdr:from>
    <xdr:to>
      <xdr:col>14</xdr:col>
      <xdr:colOff>523875</xdr:colOff>
      <xdr:row>13</xdr:row>
      <xdr:rowOff>19050</xdr:rowOff>
    </xdr:to>
    <xdr:sp macro="" textlink="">
      <xdr:nvSpPr>
        <xdr:cNvPr id="83" name="TextBox 82">
          <a:extLst>
            <a:ext uri="{FF2B5EF4-FFF2-40B4-BE49-F238E27FC236}">
              <a16:creationId xmlns:a16="http://schemas.microsoft.com/office/drawing/2014/main" id="{FAE57988-A703-427A-B693-2912756E7CCA}"/>
            </a:ext>
          </a:extLst>
        </xdr:cNvPr>
        <xdr:cNvSpPr txBox="1"/>
      </xdr:nvSpPr>
      <xdr:spPr>
        <a:xfrm>
          <a:off x="5219700" y="2009775"/>
          <a:ext cx="3838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bg1"/>
              </a:solidFill>
              <a:latin typeface="+mn-lt"/>
              <a:ea typeface="+mn-ea"/>
              <a:cs typeface="+mn-cs"/>
            </a:rPr>
            <a:t>Education wise Attrition</a:t>
          </a:r>
        </a:p>
      </xdr:txBody>
    </xdr:sp>
    <xdr:clientData/>
  </xdr:twoCellAnchor>
  <xdr:twoCellAnchor>
    <xdr:from>
      <xdr:col>17</xdr:col>
      <xdr:colOff>85725</xdr:colOff>
      <xdr:row>11</xdr:row>
      <xdr:rowOff>104775</xdr:rowOff>
    </xdr:from>
    <xdr:to>
      <xdr:col>23</xdr:col>
      <xdr:colOff>266700</xdr:colOff>
      <xdr:row>13</xdr:row>
      <xdr:rowOff>19050</xdr:rowOff>
    </xdr:to>
    <xdr:sp macro="" textlink="">
      <xdr:nvSpPr>
        <xdr:cNvPr id="87" name="TextBox 86">
          <a:extLst>
            <a:ext uri="{FF2B5EF4-FFF2-40B4-BE49-F238E27FC236}">
              <a16:creationId xmlns:a16="http://schemas.microsoft.com/office/drawing/2014/main" id="{CC14426E-9C5E-419D-9AF9-E97E2B7185ED}"/>
            </a:ext>
          </a:extLst>
        </xdr:cNvPr>
        <xdr:cNvSpPr txBox="1"/>
      </xdr:nvSpPr>
      <xdr:spPr>
        <a:xfrm>
          <a:off x="10448925" y="2009775"/>
          <a:ext cx="3838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bg1"/>
              </a:solidFill>
              <a:latin typeface="+mn-lt"/>
              <a:ea typeface="+mn-ea"/>
              <a:cs typeface="+mn-cs"/>
            </a:rPr>
            <a:t>Attrition by Job</a:t>
          </a:r>
        </a:p>
      </xdr:txBody>
    </xdr:sp>
    <xdr:clientData/>
  </xdr:twoCellAnchor>
  <xdr:twoCellAnchor>
    <xdr:from>
      <xdr:col>1</xdr:col>
      <xdr:colOff>126150</xdr:colOff>
      <xdr:row>27</xdr:row>
      <xdr:rowOff>21375</xdr:rowOff>
    </xdr:from>
    <xdr:to>
      <xdr:col>7</xdr:col>
      <xdr:colOff>238125</xdr:colOff>
      <xdr:row>38</xdr:row>
      <xdr:rowOff>19050</xdr:rowOff>
    </xdr:to>
    <xdr:graphicFrame macro="">
      <xdr:nvGraphicFramePr>
        <xdr:cNvPr id="89" name="Chart 88">
          <a:extLst>
            <a:ext uri="{FF2B5EF4-FFF2-40B4-BE49-F238E27FC236}">
              <a16:creationId xmlns:a16="http://schemas.microsoft.com/office/drawing/2014/main" id="{8DB6F5F1-291E-4575-83F8-289571999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466725</xdr:colOff>
      <xdr:row>25</xdr:row>
      <xdr:rowOff>85725</xdr:rowOff>
    </xdr:from>
    <xdr:to>
      <xdr:col>8</xdr:col>
      <xdr:colOff>38100</xdr:colOff>
      <xdr:row>27</xdr:row>
      <xdr:rowOff>0</xdr:rowOff>
    </xdr:to>
    <xdr:sp macro="" textlink="">
      <xdr:nvSpPr>
        <xdr:cNvPr id="92" name="TextBox 91">
          <a:extLst>
            <a:ext uri="{FF2B5EF4-FFF2-40B4-BE49-F238E27FC236}">
              <a16:creationId xmlns:a16="http://schemas.microsoft.com/office/drawing/2014/main" id="{01A067F4-6EFE-4978-ADD9-DC0039CCBF2D}"/>
            </a:ext>
          </a:extLst>
        </xdr:cNvPr>
        <xdr:cNvSpPr txBox="1"/>
      </xdr:nvSpPr>
      <xdr:spPr>
        <a:xfrm>
          <a:off x="1076325" y="4657725"/>
          <a:ext cx="3838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bg1"/>
              </a:solidFill>
              <a:latin typeface="+mn-lt"/>
              <a:ea typeface="+mn-ea"/>
              <a:cs typeface="+mn-cs"/>
            </a:rPr>
            <a:t>Department wise Attrition</a:t>
          </a:r>
        </a:p>
      </xdr:txBody>
    </xdr:sp>
    <xdr:clientData/>
  </xdr:twoCellAnchor>
  <xdr:twoCellAnchor>
    <xdr:from>
      <xdr:col>8</xdr:col>
      <xdr:colOff>333375</xdr:colOff>
      <xdr:row>26</xdr:row>
      <xdr:rowOff>180976</xdr:rowOff>
    </xdr:from>
    <xdr:to>
      <xdr:col>14</xdr:col>
      <xdr:colOff>161925</xdr:colOff>
      <xdr:row>37</xdr:row>
      <xdr:rowOff>171450</xdr:rowOff>
    </xdr:to>
    <xdr:graphicFrame macro="">
      <xdr:nvGraphicFramePr>
        <xdr:cNvPr id="93" name="Chart 92">
          <a:extLst>
            <a:ext uri="{FF2B5EF4-FFF2-40B4-BE49-F238E27FC236}">
              <a16:creationId xmlns:a16="http://schemas.microsoft.com/office/drawing/2014/main" id="{7A134ECB-161F-481F-8DFF-87DFC114C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8</xdr:col>
      <xdr:colOff>476250</xdr:colOff>
      <xdr:row>25</xdr:row>
      <xdr:rowOff>47625</xdr:rowOff>
    </xdr:from>
    <xdr:to>
      <xdr:col>15</xdr:col>
      <xdr:colOff>47625</xdr:colOff>
      <xdr:row>26</xdr:row>
      <xdr:rowOff>152400</xdr:rowOff>
    </xdr:to>
    <xdr:sp macro="" textlink="">
      <xdr:nvSpPr>
        <xdr:cNvPr id="95" name="TextBox 94">
          <a:extLst>
            <a:ext uri="{FF2B5EF4-FFF2-40B4-BE49-F238E27FC236}">
              <a16:creationId xmlns:a16="http://schemas.microsoft.com/office/drawing/2014/main" id="{CDCC52CF-E81F-4D5D-A195-A88EC9E0CA21}"/>
            </a:ext>
          </a:extLst>
        </xdr:cNvPr>
        <xdr:cNvSpPr txBox="1"/>
      </xdr:nvSpPr>
      <xdr:spPr>
        <a:xfrm>
          <a:off x="5353050" y="4619625"/>
          <a:ext cx="3838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bg1"/>
              </a:solidFill>
              <a:latin typeface="+mn-lt"/>
              <a:ea typeface="+mn-ea"/>
              <a:cs typeface="+mn-cs"/>
            </a:rPr>
            <a:t>Attrition by Age Group</a:t>
          </a:r>
        </a:p>
      </xdr:txBody>
    </xdr:sp>
    <xdr:clientData/>
  </xdr:twoCellAnchor>
  <xdr:twoCellAnchor>
    <xdr:from>
      <xdr:col>14</xdr:col>
      <xdr:colOff>457200</xdr:colOff>
      <xdr:row>25</xdr:row>
      <xdr:rowOff>19050</xdr:rowOff>
    </xdr:from>
    <xdr:to>
      <xdr:col>21</xdr:col>
      <xdr:colOff>28575</xdr:colOff>
      <xdr:row>26</xdr:row>
      <xdr:rowOff>123825</xdr:rowOff>
    </xdr:to>
    <xdr:sp macro="" textlink="">
      <xdr:nvSpPr>
        <xdr:cNvPr id="97" name="TextBox 96">
          <a:extLst>
            <a:ext uri="{FF2B5EF4-FFF2-40B4-BE49-F238E27FC236}">
              <a16:creationId xmlns:a16="http://schemas.microsoft.com/office/drawing/2014/main" id="{B0A2E64A-9019-487A-AD5B-31B796135B1E}"/>
            </a:ext>
          </a:extLst>
        </xdr:cNvPr>
        <xdr:cNvSpPr txBox="1"/>
      </xdr:nvSpPr>
      <xdr:spPr>
        <a:xfrm>
          <a:off x="8991600" y="4781550"/>
          <a:ext cx="3838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bg1"/>
              </a:solidFill>
              <a:latin typeface="+mn-lt"/>
              <a:ea typeface="+mn-ea"/>
              <a:cs typeface="+mn-cs"/>
            </a:rPr>
            <a:t>Attrition by Age Group Marital Status</a:t>
          </a:r>
        </a:p>
      </xdr:txBody>
    </xdr:sp>
    <xdr:clientData/>
  </xdr:twoCellAnchor>
  <xdr:twoCellAnchor editAs="oneCell">
    <xdr:from>
      <xdr:col>20</xdr:col>
      <xdr:colOff>38100</xdr:colOff>
      <xdr:row>28</xdr:row>
      <xdr:rowOff>161926</xdr:rowOff>
    </xdr:from>
    <xdr:to>
      <xdr:col>22</xdr:col>
      <xdr:colOff>266700</xdr:colOff>
      <xdr:row>35</xdr:row>
      <xdr:rowOff>9525</xdr:rowOff>
    </xdr:to>
    <mc:AlternateContent xmlns:mc="http://schemas.openxmlformats.org/markup-compatibility/2006" xmlns:a14="http://schemas.microsoft.com/office/drawing/2010/main">
      <mc:Choice Requires="a14">
        <xdr:graphicFrame macro="">
          <xdr:nvGraphicFramePr>
            <xdr:cNvPr id="99" name="Education Field 3">
              <a:extLst>
                <a:ext uri="{FF2B5EF4-FFF2-40B4-BE49-F238E27FC236}">
                  <a16:creationId xmlns:a16="http://schemas.microsoft.com/office/drawing/2014/main" id="{192ABD20-9858-42B1-AFC9-46E6137D7C66}"/>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230100" y="5495926"/>
              <a:ext cx="14478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247649</xdr:colOff>
      <xdr:row>35</xdr:row>
      <xdr:rowOff>0</xdr:rowOff>
    </xdr:from>
    <xdr:to>
      <xdr:col>24</xdr:col>
      <xdr:colOff>352424</xdr:colOff>
      <xdr:row>38</xdr:row>
      <xdr:rowOff>19050</xdr:rowOff>
    </xdr:to>
    <mc:AlternateContent xmlns:mc="http://schemas.openxmlformats.org/markup-compatibility/2006" xmlns:a14="http://schemas.microsoft.com/office/drawing/2010/main">
      <mc:Choice Requires="a14">
        <xdr:graphicFrame macro="">
          <xdr:nvGraphicFramePr>
            <xdr:cNvPr id="98" name="Department 1">
              <a:extLst>
                <a:ext uri="{FF2B5EF4-FFF2-40B4-BE49-F238E27FC236}">
                  <a16:creationId xmlns:a16="http://schemas.microsoft.com/office/drawing/2014/main" id="{1290FFBA-0A5C-41FF-A2FA-63D8577925E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658849" y="6667500"/>
              <a:ext cx="1323975"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600075</xdr:colOff>
      <xdr:row>27</xdr:row>
      <xdr:rowOff>38100</xdr:rowOff>
    </xdr:from>
    <xdr:to>
      <xdr:col>22</xdr:col>
      <xdr:colOff>57150</xdr:colOff>
      <xdr:row>28</xdr:row>
      <xdr:rowOff>95250</xdr:rowOff>
    </xdr:to>
    <xdr:sp macro="" textlink="">
      <xdr:nvSpPr>
        <xdr:cNvPr id="100" name="TextBox 99">
          <a:extLst>
            <a:ext uri="{FF2B5EF4-FFF2-40B4-BE49-F238E27FC236}">
              <a16:creationId xmlns:a16="http://schemas.microsoft.com/office/drawing/2014/main" id="{E7E1DE0A-A1C3-1BC7-F536-9D53E21BACA8}"/>
            </a:ext>
          </a:extLst>
        </xdr:cNvPr>
        <xdr:cNvSpPr txBox="1"/>
      </xdr:nvSpPr>
      <xdr:spPr>
        <a:xfrm>
          <a:off x="12182475" y="5181600"/>
          <a:ext cx="12858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92D050"/>
              </a:solidFill>
              <a:latin typeface="+mn-lt"/>
              <a:ea typeface="+mn-ea"/>
              <a:cs typeface="+mn-cs"/>
            </a:rPr>
            <a:t>Education</a:t>
          </a:r>
          <a:r>
            <a:rPr lang="en-US" sz="1100"/>
            <a:t> </a:t>
          </a:r>
          <a:r>
            <a:rPr lang="en-US" sz="1400" b="1">
              <a:solidFill>
                <a:srgbClr val="92D050"/>
              </a:solidFill>
              <a:latin typeface="+mn-lt"/>
              <a:ea typeface="+mn-ea"/>
              <a:cs typeface="+mn-cs"/>
            </a:rPr>
            <a:t>Fid</a:t>
          </a:r>
        </a:p>
      </xdr:txBody>
    </xdr:sp>
    <xdr:clientData/>
  </xdr:twoCellAnchor>
  <xdr:twoCellAnchor>
    <xdr:from>
      <xdr:col>22</xdr:col>
      <xdr:colOff>342900</xdr:colOff>
      <xdr:row>34</xdr:row>
      <xdr:rowOff>9525</xdr:rowOff>
    </xdr:from>
    <xdr:to>
      <xdr:col>24</xdr:col>
      <xdr:colOff>257175</xdr:colOff>
      <xdr:row>35</xdr:row>
      <xdr:rowOff>161925</xdr:rowOff>
    </xdr:to>
    <xdr:sp macro="" textlink="">
      <xdr:nvSpPr>
        <xdr:cNvPr id="101" name="TextBox 100">
          <a:extLst>
            <a:ext uri="{FF2B5EF4-FFF2-40B4-BE49-F238E27FC236}">
              <a16:creationId xmlns:a16="http://schemas.microsoft.com/office/drawing/2014/main" id="{B6C647A7-2049-449E-B75A-FD3246C840B9}"/>
            </a:ext>
          </a:extLst>
        </xdr:cNvPr>
        <xdr:cNvSpPr txBox="1"/>
      </xdr:nvSpPr>
      <xdr:spPr>
        <a:xfrm>
          <a:off x="13754100" y="6486525"/>
          <a:ext cx="11334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92D050"/>
              </a:solidFill>
              <a:latin typeface="+mn-lt"/>
              <a:ea typeface="+mn-ea"/>
              <a:cs typeface="+mn-cs"/>
            </a:rPr>
            <a:t>Department</a:t>
          </a:r>
        </a:p>
      </xdr:txBody>
    </xdr:sp>
    <xdr:clientData/>
  </xdr:twoCellAnchor>
  <xdr:twoCellAnchor>
    <xdr:from>
      <xdr:col>1</xdr:col>
      <xdr:colOff>276226</xdr:colOff>
      <xdr:row>14</xdr:row>
      <xdr:rowOff>68195</xdr:rowOff>
    </xdr:from>
    <xdr:to>
      <xdr:col>3</xdr:col>
      <xdr:colOff>523876</xdr:colOff>
      <xdr:row>23</xdr:row>
      <xdr:rowOff>27623</xdr:rowOff>
    </xdr:to>
    <xdr:graphicFrame macro="">
      <xdr:nvGraphicFramePr>
        <xdr:cNvPr id="104" name="Chart 103">
          <a:extLst>
            <a:ext uri="{FF2B5EF4-FFF2-40B4-BE49-F238E27FC236}">
              <a16:creationId xmlns:a16="http://schemas.microsoft.com/office/drawing/2014/main" id="{6F7715AB-5A94-0F4E-45E8-9EFFF05DE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514351</xdr:colOff>
      <xdr:row>14</xdr:row>
      <xdr:rowOff>95249</xdr:rowOff>
    </xdr:from>
    <xdr:to>
      <xdr:col>8</xdr:col>
      <xdr:colOff>171451</xdr:colOff>
      <xdr:row>23</xdr:row>
      <xdr:rowOff>0</xdr:rowOff>
    </xdr:to>
    <xdr:graphicFrame macro="">
      <xdr:nvGraphicFramePr>
        <xdr:cNvPr id="105" name="Chart 104">
          <a:extLst>
            <a:ext uri="{FF2B5EF4-FFF2-40B4-BE49-F238E27FC236}">
              <a16:creationId xmlns:a16="http://schemas.microsoft.com/office/drawing/2014/main" id="{50BB374A-5822-408F-55F7-12A3265AD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14</xdr:col>
      <xdr:colOff>38101</xdr:colOff>
      <xdr:row>27</xdr:row>
      <xdr:rowOff>47626</xdr:rowOff>
    </xdr:from>
    <xdr:to>
      <xdr:col>19</xdr:col>
      <xdr:colOff>438151</xdr:colOff>
      <xdr:row>37</xdr:row>
      <xdr:rowOff>47625</xdr:rowOff>
    </xdr:to>
    <xdr:graphicFrame macro="">
      <xdr:nvGraphicFramePr>
        <xdr:cNvPr id="106" name="Chart 105">
          <a:extLst>
            <a:ext uri="{FF2B5EF4-FFF2-40B4-BE49-F238E27FC236}">
              <a16:creationId xmlns:a16="http://schemas.microsoft.com/office/drawing/2014/main" id="{98226297-47BA-4D9A-8408-3B0324D7E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20</xdr:col>
      <xdr:colOff>57150</xdr:colOff>
      <xdr:row>25</xdr:row>
      <xdr:rowOff>38100</xdr:rowOff>
    </xdr:from>
    <xdr:to>
      <xdr:col>26</xdr:col>
      <xdr:colOff>238125</xdr:colOff>
      <xdr:row>26</xdr:row>
      <xdr:rowOff>142875</xdr:rowOff>
    </xdr:to>
    <xdr:sp macro="" textlink="">
      <xdr:nvSpPr>
        <xdr:cNvPr id="108" name="TextBox 107">
          <a:extLst>
            <a:ext uri="{FF2B5EF4-FFF2-40B4-BE49-F238E27FC236}">
              <a16:creationId xmlns:a16="http://schemas.microsoft.com/office/drawing/2014/main" id="{1E481B7F-1C0E-40D6-AD65-E9F5171B9E60}"/>
            </a:ext>
          </a:extLst>
        </xdr:cNvPr>
        <xdr:cNvSpPr txBox="1"/>
      </xdr:nvSpPr>
      <xdr:spPr>
        <a:xfrm>
          <a:off x="12249150" y="4800600"/>
          <a:ext cx="3838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bg1"/>
              </a:solidFill>
              <a:latin typeface="+mn-lt"/>
              <a:ea typeface="+mn-ea"/>
              <a:cs typeface="+mn-cs"/>
            </a:rPr>
            <a:t>Slicers</a:t>
          </a:r>
        </a:p>
      </xdr:txBody>
    </xdr:sp>
    <xdr:clientData/>
  </xdr:twoCellAnchor>
  <xdr:twoCellAnchor>
    <xdr:from>
      <xdr:col>20</xdr:col>
      <xdr:colOff>38100</xdr:colOff>
      <xdr:row>34</xdr:row>
      <xdr:rowOff>38101</xdr:rowOff>
    </xdr:from>
    <xdr:to>
      <xdr:col>21</xdr:col>
      <xdr:colOff>561975</xdr:colOff>
      <xdr:row>35</xdr:row>
      <xdr:rowOff>161925</xdr:rowOff>
    </xdr:to>
    <xdr:sp macro="" textlink="">
      <xdr:nvSpPr>
        <xdr:cNvPr id="109" name="TextBox 108">
          <a:extLst>
            <a:ext uri="{FF2B5EF4-FFF2-40B4-BE49-F238E27FC236}">
              <a16:creationId xmlns:a16="http://schemas.microsoft.com/office/drawing/2014/main" id="{78A18212-B893-4CB9-BC9C-3EB6B1E83066}"/>
            </a:ext>
          </a:extLst>
        </xdr:cNvPr>
        <xdr:cNvSpPr txBox="1"/>
      </xdr:nvSpPr>
      <xdr:spPr>
        <a:xfrm>
          <a:off x="12230100" y="6515101"/>
          <a:ext cx="113347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92D050"/>
              </a:solidFill>
              <a:latin typeface="+mn-lt"/>
              <a:ea typeface="+mn-ea"/>
              <a:cs typeface="+mn-cs"/>
            </a:rPr>
            <a:t>Gender</a:t>
          </a:r>
        </a:p>
      </xdr:txBody>
    </xdr:sp>
    <xdr:clientData/>
  </xdr:twoCellAnchor>
  <xdr:twoCellAnchor editAs="oneCell">
    <xdr:from>
      <xdr:col>2</xdr:col>
      <xdr:colOff>295275</xdr:colOff>
      <xdr:row>1</xdr:row>
      <xdr:rowOff>47625</xdr:rowOff>
    </xdr:from>
    <xdr:to>
      <xdr:col>3</xdr:col>
      <xdr:colOff>600075</xdr:colOff>
      <xdr:row>6</xdr:row>
      <xdr:rowOff>9525</xdr:rowOff>
    </xdr:to>
    <xdr:pic>
      <xdr:nvPicPr>
        <xdr:cNvPr id="123" name="Graphic 122" descr="Network with solid fill">
          <a:extLst>
            <a:ext uri="{FF2B5EF4-FFF2-40B4-BE49-F238E27FC236}">
              <a16:creationId xmlns:a16="http://schemas.microsoft.com/office/drawing/2014/main" id="{49DFA206-FB85-CB82-0575-C39D0A195AA3}"/>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1514475" y="238125"/>
          <a:ext cx="914400" cy="914400"/>
        </a:xfrm>
        <a:prstGeom prst="rect">
          <a:avLst/>
        </a:prstGeom>
      </xdr:spPr>
    </xdr:pic>
    <xdr:clientData/>
  </xdr:twoCellAnchor>
  <xdr:twoCellAnchor>
    <xdr:from>
      <xdr:col>17</xdr:col>
      <xdr:colOff>66675</xdr:colOff>
      <xdr:row>13</xdr:row>
      <xdr:rowOff>0</xdr:rowOff>
    </xdr:from>
    <xdr:to>
      <xdr:col>24</xdr:col>
      <xdr:colOff>133350</xdr:colOff>
      <xdr:row>24</xdr:row>
      <xdr:rowOff>152400</xdr:rowOff>
    </xdr:to>
    <mc:AlternateContent xmlns:mc="http://schemas.openxmlformats.org/markup-compatibility/2006">
      <mc:Choice xmlns:cx1="http://schemas.microsoft.com/office/drawing/2015/9/8/chartex" Requires="cx1">
        <xdr:graphicFrame macro="">
          <xdr:nvGraphicFramePr>
            <xdr:cNvPr id="126" name="Chart 125">
              <a:extLst>
                <a:ext uri="{FF2B5EF4-FFF2-40B4-BE49-F238E27FC236}">
                  <a16:creationId xmlns:a16="http://schemas.microsoft.com/office/drawing/2014/main" id="{39863260-F152-4664-9902-1957F77C80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1"/>
            </a:graphicData>
          </a:graphic>
        </xdr:graphicFrame>
      </mc:Choice>
      <mc:Fallback>
        <xdr:sp macro="" textlink="">
          <xdr:nvSpPr>
            <xdr:cNvPr id="0" name=""/>
            <xdr:cNvSpPr>
              <a:spLocks noTextEdit="1"/>
            </xdr:cNvSpPr>
          </xdr:nvSpPr>
          <xdr:spPr>
            <a:xfrm>
              <a:off x="10429875" y="2476500"/>
              <a:ext cx="4333875" cy="2247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171450</xdr:colOff>
      <xdr:row>28</xdr:row>
      <xdr:rowOff>114300</xdr:rowOff>
    </xdr:from>
    <xdr:to>
      <xdr:col>24</xdr:col>
      <xdr:colOff>466725</xdr:colOff>
      <xdr:row>34</xdr:row>
      <xdr:rowOff>114299</xdr:rowOff>
    </xdr:to>
    <mc:AlternateContent xmlns:mc="http://schemas.openxmlformats.org/markup-compatibility/2006" xmlns:a14="http://schemas.microsoft.com/office/drawing/2010/main">
      <mc:Choice Requires="a14">
        <xdr:graphicFrame macro="">
          <xdr:nvGraphicFramePr>
            <xdr:cNvPr id="192" name="Job Role 2">
              <a:extLst>
                <a:ext uri="{FF2B5EF4-FFF2-40B4-BE49-F238E27FC236}">
                  <a16:creationId xmlns:a16="http://schemas.microsoft.com/office/drawing/2014/main" id="{9CB1869A-8604-4B21-9441-5F30DC9BDA40}"/>
                </a:ext>
              </a:extLst>
            </xdr:cNvPr>
            <xdr:cNvGraphicFramePr/>
          </xdr:nvGraphicFramePr>
          <xdr:xfrm>
            <a:off x="0" y="0"/>
            <a:ext cx="0" cy="0"/>
          </xdr:xfrm>
          <a:graphic>
            <a:graphicData uri="http://schemas.microsoft.com/office/drawing/2010/slicer">
              <sle:slicer xmlns:sle="http://schemas.microsoft.com/office/drawing/2010/slicer" name="Job Role 2"/>
            </a:graphicData>
          </a:graphic>
        </xdr:graphicFrame>
      </mc:Choice>
      <mc:Fallback xmlns="">
        <xdr:sp macro="" textlink="">
          <xdr:nvSpPr>
            <xdr:cNvPr id="0" name=""/>
            <xdr:cNvSpPr>
              <a:spLocks noTextEdit="1"/>
            </xdr:cNvSpPr>
          </xdr:nvSpPr>
          <xdr:spPr>
            <a:xfrm>
              <a:off x="13582650" y="5448300"/>
              <a:ext cx="1514475"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485775</xdr:colOff>
      <xdr:row>27</xdr:row>
      <xdr:rowOff>47626</xdr:rowOff>
    </xdr:from>
    <xdr:to>
      <xdr:col>24</xdr:col>
      <xdr:colOff>400050</xdr:colOff>
      <xdr:row>28</xdr:row>
      <xdr:rowOff>171450</xdr:rowOff>
    </xdr:to>
    <xdr:sp macro="" textlink="">
      <xdr:nvSpPr>
        <xdr:cNvPr id="193" name="TextBox 192">
          <a:extLst>
            <a:ext uri="{FF2B5EF4-FFF2-40B4-BE49-F238E27FC236}">
              <a16:creationId xmlns:a16="http://schemas.microsoft.com/office/drawing/2014/main" id="{41839CA9-FE6F-402E-A415-B2CE41F694DE}"/>
            </a:ext>
          </a:extLst>
        </xdr:cNvPr>
        <xdr:cNvSpPr txBox="1"/>
      </xdr:nvSpPr>
      <xdr:spPr>
        <a:xfrm>
          <a:off x="13896975" y="5191126"/>
          <a:ext cx="113347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92D050"/>
              </a:solidFill>
              <a:latin typeface="+mn-lt"/>
              <a:ea typeface="+mn-ea"/>
              <a:cs typeface="+mn-cs"/>
            </a:rPr>
            <a:t>Job Role</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0.44545</cdr:x>
      <cdr:y>0.36181</cdr:y>
    </cdr:from>
    <cdr:to>
      <cdr:x>0.84949</cdr:x>
      <cdr:y>0.73333</cdr:y>
    </cdr:to>
    <cdr:sp macro="" textlink="Rate!$B$4">
      <cdr:nvSpPr>
        <cdr:cNvPr id="2" name="TextBox 1">
          <a:extLst xmlns:a="http://schemas.openxmlformats.org/drawingml/2006/main">
            <a:ext uri="{FF2B5EF4-FFF2-40B4-BE49-F238E27FC236}">
              <a16:creationId xmlns:a16="http://schemas.microsoft.com/office/drawing/2014/main" id="{36AD6A20-87F8-3F49-FD5F-C8D0B694AC1C}"/>
            </a:ext>
          </a:extLst>
        </cdr:cNvPr>
        <cdr:cNvSpPr txBox="1"/>
      </cdr:nvSpPr>
      <cdr:spPr>
        <a:xfrm xmlns:a="http://schemas.openxmlformats.org/drawingml/2006/main">
          <a:off x="466725" y="206777"/>
          <a:ext cx="423334" cy="21232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8E38D620-6847-45CB-A9A7-4F812DF8D851}" type="TxLink">
            <a:rPr lang="en-US" sz="1100" b="0" i="0" u="none" strike="noStrike">
              <a:solidFill>
                <a:schemeClr val="bg1"/>
              </a:solidFill>
              <a:latin typeface="Calibri"/>
              <a:cs typeface="Calibri"/>
            </a:rPr>
            <a:pPr algn="ctr"/>
            <a:t>2.5</a:t>
          </a:fld>
          <a:endParaRPr lang="en-US" sz="1100">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6</xdr:col>
      <xdr:colOff>57150</xdr:colOff>
      <xdr:row>13</xdr:row>
      <xdr:rowOff>166687</xdr:rowOff>
    </xdr:from>
    <xdr:to>
      <xdr:col>13</xdr:col>
      <xdr:colOff>361950</xdr:colOff>
      <xdr:row>28</xdr:row>
      <xdr:rowOff>52387</xdr:rowOff>
    </xdr:to>
    <xdr:graphicFrame macro="">
      <xdr:nvGraphicFramePr>
        <xdr:cNvPr id="2" name="Chart 1">
          <a:extLst>
            <a:ext uri="{FF2B5EF4-FFF2-40B4-BE49-F238E27FC236}">
              <a16:creationId xmlns:a16="http://schemas.microsoft.com/office/drawing/2014/main" id="{5BFD53AE-AF64-B05B-ECBE-84C795CB5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604837</xdr:colOff>
      <xdr:row>13</xdr:row>
      <xdr:rowOff>166687</xdr:rowOff>
    </xdr:from>
    <xdr:to>
      <xdr:col>9</xdr:col>
      <xdr:colOff>376237</xdr:colOff>
      <xdr:row>28</xdr:row>
      <xdr:rowOff>52387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06C11E0-92BB-E4BC-FB5A-BFBF4B4AC2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7" y="26431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176212</xdr:colOff>
      <xdr:row>14</xdr:row>
      <xdr:rowOff>80962</xdr:rowOff>
    </xdr:from>
    <xdr:to>
      <xdr:col>4</xdr:col>
      <xdr:colOff>271462</xdr:colOff>
      <xdr:row>28</xdr:row>
      <xdr:rowOff>157162</xdr:rowOff>
    </xdr:to>
    <xdr:graphicFrame macro="">
      <xdr:nvGraphicFramePr>
        <xdr:cNvPr id="3" name="Chart 2">
          <a:extLst>
            <a:ext uri="{FF2B5EF4-FFF2-40B4-BE49-F238E27FC236}">
              <a16:creationId xmlns:a16="http://schemas.microsoft.com/office/drawing/2014/main" id="{43B6E650-7646-D12C-B1E5-2244FB6AC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581025</xdr:colOff>
      <xdr:row>10</xdr:row>
      <xdr:rowOff>133350</xdr:rowOff>
    </xdr:from>
    <xdr:to>
      <xdr:col>14</xdr:col>
      <xdr:colOff>581025</xdr:colOff>
      <xdr:row>23</xdr:row>
      <xdr:rowOff>180975</xdr:rowOff>
    </xdr:to>
    <mc:AlternateContent xmlns:mc="http://schemas.openxmlformats.org/markup-compatibility/2006" xmlns:a14="http://schemas.microsoft.com/office/drawing/2010/main">
      <mc:Choice Requires="a14">
        <xdr:graphicFrame macro="">
          <xdr:nvGraphicFramePr>
            <xdr:cNvPr id="4" name="Job Role 1">
              <a:extLst>
                <a:ext uri="{FF2B5EF4-FFF2-40B4-BE49-F238E27FC236}">
                  <a16:creationId xmlns:a16="http://schemas.microsoft.com/office/drawing/2014/main" id="{2C6DDD87-651A-A92F-0171-A93DFF48D451}"/>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11077575" y="2038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13</xdr:col>
      <xdr:colOff>85725</xdr:colOff>
      <xdr:row>10</xdr:row>
      <xdr:rowOff>166687</xdr:rowOff>
    </xdr:from>
    <xdr:to>
      <xdr:col>16</xdr:col>
      <xdr:colOff>228601</xdr:colOff>
      <xdr:row>19</xdr:row>
      <xdr:rowOff>133350</xdr:rowOff>
    </xdr:to>
    <xdr:graphicFrame macro="">
      <xdr:nvGraphicFramePr>
        <xdr:cNvPr id="2" name="Chart 1">
          <a:extLst>
            <a:ext uri="{FF2B5EF4-FFF2-40B4-BE49-F238E27FC236}">
              <a16:creationId xmlns:a16="http://schemas.microsoft.com/office/drawing/2014/main" id="{9A5AB891-7234-8363-8AC2-804030AE5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180975</xdr:colOff>
      <xdr:row>1</xdr:row>
      <xdr:rowOff>85726</xdr:rowOff>
    </xdr:from>
    <xdr:to>
      <xdr:col>9</xdr:col>
      <xdr:colOff>180975</xdr:colOff>
      <xdr:row>7</xdr:row>
      <xdr:rowOff>66676</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B3D039A3-8E0D-69CD-A1E7-9185EFF6CA5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905375" y="276226"/>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347661</xdr:colOff>
      <xdr:row>17</xdr:row>
      <xdr:rowOff>133350</xdr:rowOff>
    </xdr:from>
    <xdr:to>
      <xdr:col>7</xdr:col>
      <xdr:colOff>180974</xdr:colOff>
      <xdr:row>22</xdr:row>
      <xdr:rowOff>28576</xdr:rowOff>
    </xdr:to>
    <xdr:graphicFrame macro="">
      <xdr:nvGraphicFramePr>
        <xdr:cNvPr id="4" name="Chart 3">
          <a:extLst>
            <a:ext uri="{FF2B5EF4-FFF2-40B4-BE49-F238E27FC236}">
              <a16:creationId xmlns:a16="http://schemas.microsoft.com/office/drawing/2014/main" id="{76F83375-2B60-2CB1-C711-E6F9E2073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19050</xdr:colOff>
      <xdr:row>11</xdr:row>
      <xdr:rowOff>123825</xdr:rowOff>
    </xdr:from>
    <xdr:to>
      <xdr:col>12</xdr:col>
      <xdr:colOff>19050</xdr:colOff>
      <xdr:row>24</xdr:row>
      <xdr:rowOff>171450</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38025B4E-76A6-0893-C934-F6032437201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572250" y="2219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9525</xdr:colOff>
      <xdr:row>23</xdr:row>
      <xdr:rowOff>123825</xdr:rowOff>
    </xdr:from>
    <xdr:to>
      <xdr:col>18</xdr:col>
      <xdr:colOff>581025</xdr:colOff>
      <xdr:row>25</xdr:row>
      <xdr:rowOff>180975</xdr:rowOff>
    </xdr:to>
    <xdr:sp macro="" textlink="">
      <xdr:nvSpPr>
        <xdr:cNvPr id="7" name="TextBox 6">
          <a:extLst>
            <a:ext uri="{FF2B5EF4-FFF2-40B4-BE49-F238E27FC236}">
              <a16:creationId xmlns:a16="http://schemas.microsoft.com/office/drawing/2014/main" id="{B4280D2D-CB69-1D09-3FF2-F2FB2D49B9D7}"/>
            </a:ext>
          </a:extLst>
        </xdr:cNvPr>
        <xdr:cNvSpPr txBox="1"/>
      </xdr:nvSpPr>
      <xdr:spPr>
        <a:xfrm>
          <a:off x="10220325" y="4505325"/>
          <a:ext cx="2400300" cy="4381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215900</xdr:colOff>
      <xdr:row>24</xdr:row>
      <xdr:rowOff>9525</xdr:rowOff>
    </xdr:from>
    <xdr:to>
      <xdr:col>16</xdr:col>
      <xdr:colOff>530225</xdr:colOff>
      <xdr:row>25</xdr:row>
      <xdr:rowOff>133350</xdr:rowOff>
    </xdr:to>
    <xdr:sp macro="" textlink="">
      <xdr:nvSpPr>
        <xdr:cNvPr id="8" name="Star: 5 Points 7">
          <a:extLst>
            <a:ext uri="{FF2B5EF4-FFF2-40B4-BE49-F238E27FC236}">
              <a16:creationId xmlns:a16="http://schemas.microsoft.com/office/drawing/2014/main" id="{6EA6CC3C-41AC-62BF-A9B4-619C8127F9A0}"/>
            </a:ext>
          </a:extLst>
        </xdr:cNvPr>
        <xdr:cNvSpPr/>
      </xdr:nvSpPr>
      <xdr:spPr>
        <a:xfrm>
          <a:off x="11036300" y="4581525"/>
          <a:ext cx="314325" cy="314325"/>
        </a:xfrm>
        <a:prstGeom prst="star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323850</xdr:colOff>
      <xdr:row>24</xdr:row>
      <xdr:rowOff>9525</xdr:rowOff>
    </xdr:from>
    <xdr:to>
      <xdr:col>16</xdr:col>
      <xdr:colOff>28575</xdr:colOff>
      <xdr:row>25</xdr:row>
      <xdr:rowOff>133350</xdr:rowOff>
    </xdr:to>
    <xdr:sp macro="" textlink="">
      <xdr:nvSpPr>
        <xdr:cNvPr id="9" name="Star: 5 Points 8">
          <a:extLst>
            <a:ext uri="{FF2B5EF4-FFF2-40B4-BE49-F238E27FC236}">
              <a16:creationId xmlns:a16="http://schemas.microsoft.com/office/drawing/2014/main" id="{5644E6EF-D420-4744-88AB-5716F34A122C}"/>
            </a:ext>
          </a:extLst>
        </xdr:cNvPr>
        <xdr:cNvSpPr/>
      </xdr:nvSpPr>
      <xdr:spPr>
        <a:xfrm>
          <a:off x="10534650" y="4581525"/>
          <a:ext cx="314325" cy="314325"/>
        </a:xfrm>
        <a:prstGeom prst="star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107950</xdr:colOff>
      <xdr:row>24</xdr:row>
      <xdr:rowOff>9525</xdr:rowOff>
    </xdr:from>
    <xdr:to>
      <xdr:col>17</xdr:col>
      <xdr:colOff>422275</xdr:colOff>
      <xdr:row>25</xdr:row>
      <xdr:rowOff>133350</xdr:rowOff>
    </xdr:to>
    <xdr:sp macro="" textlink="">
      <xdr:nvSpPr>
        <xdr:cNvPr id="10" name="Star: 5 Points 9">
          <a:extLst>
            <a:ext uri="{FF2B5EF4-FFF2-40B4-BE49-F238E27FC236}">
              <a16:creationId xmlns:a16="http://schemas.microsoft.com/office/drawing/2014/main" id="{6F93E670-0419-4458-8ACA-13D3164A2E03}"/>
            </a:ext>
          </a:extLst>
        </xdr:cNvPr>
        <xdr:cNvSpPr/>
      </xdr:nvSpPr>
      <xdr:spPr>
        <a:xfrm>
          <a:off x="11537950" y="4581525"/>
          <a:ext cx="314325" cy="314325"/>
        </a:xfrm>
        <a:prstGeom prst="star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0</xdr:colOff>
      <xdr:row>24</xdr:row>
      <xdr:rowOff>9525</xdr:rowOff>
    </xdr:from>
    <xdr:to>
      <xdr:col>18</xdr:col>
      <xdr:colOff>314325</xdr:colOff>
      <xdr:row>25</xdr:row>
      <xdr:rowOff>133350</xdr:rowOff>
    </xdr:to>
    <xdr:sp macro="" textlink="">
      <xdr:nvSpPr>
        <xdr:cNvPr id="11" name="Star: 5 Points 10">
          <a:extLst>
            <a:ext uri="{FF2B5EF4-FFF2-40B4-BE49-F238E27FC236}">
              <a16:creationId xmlns:a16="http://schemas.microsoft.com/office/drawing/2014/main" id="{EC164D03-D9DE-4248-8738-BD7A52DA2F97}"/>
            </a:ext>
          </a:extLst>
        </xdr:cNvPr>
        <xdr:cNvSpPr/>
      </xdr:nvSpPr>
      <xdr:spPr>
        <a:xfrm>
          <a:off x="12039600" y="4581525"/>
          <a:ext cx="314325" cy="314325"/>
        </a:xfrm>
        <a:prstGeom prst="star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0</xdr:colOff>
      <xdr:row>30</xdr:row>
      <xdr:rowOff>0</xdr:rowOff>
    </xdr:from>
    <xdr:to>
      <xdr:col>13</xdr:col>
      <xdr:colOff>579329</xdr:colOff>
      <xdr:row>32</xdr:row>
      <xdr:rowOff>70143</xdr:rowOff>
    </xdr:to>
    <xdr:pic>
      <xdr:nvPicPr>
        <xdr:cNvPr id="20" name="Picture 19">
          <a:extLst>
            <a:ext uri="{FF2B5EF4-FFF2-40B4-BE49-F238E27FC236}">
              <a16:creationId xmlns:a16="http://schemas.microsoft.com/office/drawing/2014/main" id="{660847D6-D2E4-11AA-FCC0-3C47F1A72763}"/>
            </a:ext>
          </a:extLst>
        </xdr:cNvPr>
        <xdr:cNvPicPr>
          <a:picLocks noChangeAspect="1"/>
        </xdr:cNvPicPr>
      </xdr:nvPicPr>
      <xdr:blipFill>
        <a:blip xmlns:r="http://schemas.openxmlformats.org/officeDocument/2006/relationships" r:embed="rId3"/>
        <a:stretch>
          <a:fillRect/>
        </a:stretch>
      </xdr:blipFill>
      <xdr:spPr>
        <a:xfrm>
          <a:off x="7162800" y="5715000"/>
          <a:ext cx="2408129" cy="451143"/>
        </a:xfrm>
        <a:prstGeom prst="rect">
          <a:avLst/>
        </a:prstGeom>
      </xdr:spPr>
    </xdr:pic>
    <xdr:clientData/>
  </xdr:twoCellAnchor>
  <xdr:twoCellAnchor>
    <xdr:from>
      <xdr:col>18</xdr:col>
      <xdr:colOff>0</xdr:colOff>
      <xdr:row>3</xdr:row>
      <xdr:rowOff>0</xdr:rowOff>
    </xdr:from>
    <xdr:to>
      <xdr:col>21</xdr:col>
      <xdr:colOff>571500</xdr:colOff>
      <xdr:row>5</xdr:row>
      <xdr:rowOff>57150</xdr:rowOff>
    </xdr:to>
    <xdr:sp macro="" textlink="">
      <xdr:nvSpPr>
        <xdr:cNvPr id="23" name="TextBox 22">
          <a:extLst>
            <a:ext uri="{FF2B5EF4-FFF2-40B4-BE49-F238E27FC236}">
              <a16:creationId xmlns:a16="http://schemas.microsoft.com/office/drawing/2014/main" id="{98963ACF-BB1C-4FA1-9765-5850A773C55F}"/>
            </a:ext>
          </a:extLst>
        </xdr:cNvPr>
        <xdr:cNvSpPr txBox="1"/>
      </xdr:nvSpPr>
      <xdr:spPr>
        <a:xfrm>
          <a:off x="12039600" y="571500"/>
          <a:ext cx="2400300" cy="438150"/>
        </a:xfrm>
        <a:prstGeom prst="rect">
          <a:avLst/>
        </a:prstGeom>
        <a:solidFill>
          <a:srgbClr val="4472C4">
            <a:lumMod val="60000"/>
            <a:lumOff val="40000"/>
          </a:srgbClr>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11</xdr:col>
      <xdr:colOff>352425</xdr:colOff>
      <xdr:row>14</xdr:row>
      <xdr:rowOff>123825</xdr:rowOff>
    </xdr:from>
    <xdr:to>
      <xdr:col>14</xdr:col>
      <xdr:colOff>352425</xdr:colOff>
      <xdr:row>27</xdr:row>
      <xdr:rowOff>171450</xdr:rowOff>
    </xdr:to>
    <mc:AlternateContent xmlns:mc="http://schemas.openxmlformats.org/markup-compatibility/2006" xmlns:a14="http://schemas.microsoft.com/office/drawing/2010/main">
      <mc:Choice Requires="a14">
        <xdr:graphicFrame macro="">
          <xdr:nvGraphicFramePr>
            <xdr:cNvPr id="5" name="Attrition">
              <a:extLst>
                <a:ext uri="{FF2B5EF4-FFF2-40B4-BE49-F238E27FC236}">
                  <a16:creationId xmlns:a16="http://schemas.microsoft.com/office/drawing/2014/main" id="{345537ED-F425-B329-95BD-0854634ABF59}"/>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8124825" y="2790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361950</xdr:colOff>
      <xdr:row>13</xdr:row>
      <xdr:rowOff>76200</xdr:rowOff>
    </xdr:from>
    <xdr:to>
      <xdr:col>10</xdr:col>
      <xdr:colOff>361950</xdr:colOff>
      <xdr:row>26</xdr:row>
      <xdr:rowOff>123825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D32E9C65-BE79-C452-73BA-422E3476DA2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029325" y="2552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438150</xdr:colOff>
      <xdr:row>13</xdr:row>
      <xdr:rowOff>152400</xdr:rowOff>
    </xdr:from>
    <xdr:to>
      <xdr:col>13</xdr:col>
      <xdr:colOff>438150</xdr:colOff>
      <xdr:row>27</xdr:row>
      <xdr:rowOff>9525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E1C47998-C31F-7287-7EC0-BBA2EB09380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934325" y="2628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xdr:colOff>
      <xdr:row>16</xdr:row>
      <xdr:rowOff>185737</xdr:rowOff>
    </xdr:from>
    <xdr:to>
      <xdr:col>2</xdr:col>
      <xdr:colOff>152400</xdr:colOff>
      <xdr:row>26</xdr:row>
      <xdr:rowOff>0</xdr:rowOff>
    </xdr:to>
    <xdr:graphicFrame macro="">
      <xdr:nvGraphicFramePr>
        <xdr:cNvPr id="4" name="Chart 3">
          <a:extLst>
            <a:ext uri="{FF2B5EF4-FFF2-40B4-BE49-F238E27FC236}">
              <a16:creationId xmlns:a16="http://schemas.microsoft.com/office/drawing/2014/main" id="{A56920D1-F6AF-9527-C957-8BD942FAF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381000</xdr:colOff>
      <xdr:row>14</xdr:row>
      <xdr:rowOff>4762</xdr:rowOff>
    </xdr:from>
    <xdr:to>
      <xdr:col>13</xdr:col>
      <xdr:colOff>76200</xdr:colOff>
      <xdr:row>28</xdr:row>
      <xdr:rowOff>80962</xdr:rowOff>
    </xdr:to>
    <xdr:graphicFrame macro="">
      <xdr:nvGraphicFramePr>
        <xdr:cNvPr id="2" name="Chart 1">
          <a:extLst>
            <a:ext uri="{FF2B5EF4-FFF2-40B4-BE49-F238E27FC236}">
              <a16:creationId xmlns:a16="http://schemas.microsoft.com/office/drawing/2014/main" id="{69C8389D-AD94-0202-ADFD-575891D30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657225</xdr:colOff>
      <xdr:row>13</xdr:row>
      <xdr:rowOff>42862</xdr:rowOff>
    </xdr:from>
    <xdr:to>
      <xdr:col>14</xdr:col>
      <xdr:colOff>200025</xdr:colOff>
      <xdr:row>27</xdr:row>
      <xdr:rowOff>119062</xdr:rowOff>
    </xdr:to>
    <xdr:graphicFrame macro="">
      <xdr:nvGraphicFramePr>
        <xdr:cNvPr id="2" name="Chart 1">
          <a:extLst>
            <a:ext uri="{FF2B5EF4-FFF2-40B4-BE49-F238E27FC236}">
              <a16:creationId xmlns:a16="http://schemas.microsoft.com/office/drawing/2014/main" id="{6EB4EF71-492A-8135-0E95-8DA879DDF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200026</xdr:colOff>
      <xdr:row>15</xdr:row>
      <xdr:rowOff>76202</xdr:rowOff>
    </xdr:from>
    <xdr:to>
      <xdr:col>17</xdr:col>
      <xdr:colOff>390526</xdr:colOff>
      <xdr:row>24</xdr:row>
      <xdr:rowOff>28576</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81E58DA-6EE6-A83A-C446-5661D289293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877551" y="2933702"/>
              <a:ext cx="1409700" cy="166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361950</xdr:colOff>
      <xdr:row>1</xdr:row>
      <xdr:rowOff>19050</xdr:rowOff>
    </xdr:from>
    <xdr:to>
      <xdr:col>18</xdr:col>
      <xdr:colOff>361950</xdr:colOff>
      <xdr:row>14</xdr:row>
      <xdr:rowOff>66675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F14A306B-8128-4C30-EF1D-13BD5888375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1039475" y="209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504825</xdr:colOff>
      <xdr:row>11</xdr:row>
      <xdr:rowOff>95250</xdr:rowOff>
    </xdr:from>
    <xdr:to>
      <xdr:col>22</xdr:col>
      <xdr:colOff>504825</xdr:colOff>
      <xdr:row>24</xdr:row>
      <xdr:rowOff>142875</xdr:rowOff>
    </xdr:to>
    <mc:AlternateContent xmlns:mc="http://schemas.openxmlformats.org/markup-compatibility/2006" xmlns:a14="http://schemas.microsoft.com/office/drawing/2010/main">
      <mc:Choice Requires="a14">
        <xdr:graphicFrame macro="">
          <xdr:nvGraphicFramePr>
            <xdr:cNvPr id="5" name="Job Role">
              <a:extLst>
                <a:ext uri="{FF2B5EF4-FFF2-40B4-BE49-F238E27FC236}">
                  <a16:creationId xmlns:a16="http://schemas.microsoft.com/office/drawing/2014/main" id="{A010DF1C-2641-A76A-C258-5A002DE43A8F}"/>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3620750" y="2190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9</xdr:col>
      <xdr:colOff>285750</xdr:colOff>
      <xdr:row>13</xdr:row>
      <xdr:rowOff>166687</xdr:rowOff>
    </xdr:from>
    <xdr:to>
      <xdr:col>16</xdr:col>
      <xdr:colOff>590550</xdr:colOff>
      <xdr:row>28</xdr:row>
      <xdr:rowOff>52387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7C2E00A-501B-DEE8-222C-68E312D02C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9400" y="26431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733425</xdr:colOff>
      <xdr:row>12</xdr:row>
      <xdr:rowOff>147637</xdr:rowOff>
    </xdr:from>
    <xdr:to>
      <xdr:col>8</xdr:col>
      <xdr:colOff>447675</xdr:colOff>
      <xdr:row>27</xdr:row>
      <xdr:rowOff>33337</xdr:rowOff>
    </xdr:to>
    <xdr:graphicFrame macro="">
      <xdr:nvGraphicFramePr>
        <xdr:cNvPr id="3" name="Chart 2">
          <a:extLst>
            <a:ext uri="{FF2B5EF4-FFF2-40B4-BE49-F238E27FC236}">
              <a16:creationId xmlns:a16="http://schemas.microsoft.com/office/drawing/2014/main" id="{320759E7-A53C-2E23-6415-A2BEA2FDE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512.131398958336" backgroundQuery="1" createdVersion="8" refreshedVersion="8" minRefreshableVersion="3" recordCount="0" supportSubquery="1" supportAdvancedDrill="1" xr:uid="{90E623DB-0498-4F2A-91D4-8B58687F1C3E}">
  <cacheSource type="external" connectionId="3"/>
  <cacheFields count="4">
    <cacheField name="[Measures].[Count of Employee Number]" caption="Count of Employee Number" numFmtId="0" hierarchy="47" level="32767"/>
    <cacheField name="[Measures].[Sum of CF_attrition count]" caption="Sum of CF_attrition count" numFmtId="0" hierarchy="48" level="32767"/>
    <cacheField name="[Measures].[Average of Age]" caption="Average of Age" numFmtId="0" hierarchy="50" level="32767"/>
    <cacheField name="[Table_1].[Gender].[Gender]" caption="Gender" numFmtId="0" hierarchy="8" level="1">
      <sharedItems containsSemiMixedTypes="0" containsNonDate="0" containsString="0"/>
    </cacheField>
  </cacheFields>
  <cacheHierarchies count="55">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fieldsUsage count="2">
        <fieldUsage x="-1"/>
        <fieldUsage x="3"/>
      </fieldsUsage>
    </cacheHierarchy>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Count of Education]" caption="Count of Education" measure="1" displayFolder="" measureGroup="Table_1" count="0" hidden="1">
      <extLst>
        <ext xmlns:x15="http://schemas.microsoft.com/office/spreadsheetml/2010/11/main" uri="{B97F6D7D-B522-45F9-BDA1-12C45D357490}">
          <x15:cacheHierarchy aggregatedColumn="23"/>
        </ext>
      </extLst>
    </cacheHierarchy>
    <cacheHierarchy uniqueName="[Measures].[Count of Attrition]" caption="Count of Attrition"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605.069567361112" backgroundQuery="1" createdVersion="8" refreshedVersion="8" minRefreshableVersion="3" recordCount="0" supportSubquery="1" supportAdvancedDrill="1" xr:uid="{786435BA-885F-4572-84FA-09D35F3A59B8}">
  <cacheSource type="external" connectionId="3"/>
  <cacheFields count="2">
    <cacheField name="[Table_1].[Education].[Education]" caption="Education" numFmtId="0" hierarchy="23" level="1">
      <sharedItems count="5">
        <s v="Associates Degree"/>
        <s v="Bachelor's Degree"/>
        <s v="Doctoral Degree"/>
        <s v="High School"/>
        <s v="Master's Degree"/>
      </sharedItems>
    </cacheField>
    <cacheField name="[Measures].[Sum of CF_attrition count]" caption="Sum of CF_attrition count" numFmtId="0" hierarchy="48" level="32767"/>
  </cacheFields>
  <cacheHierarchies count="55">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0"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2" memberValueDatatype="130" unbalanced="0">
      <fieldsUsage count="2">
        <fieldUsage x="-1"/>
        <fieldUsage x="0"/>
      </fieldsUsage>
    </cacheHierarchy>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Count of Education]" caption="Count of Education" measure="1" displayFolder="" measureGroup="Table_1" count="0" hidden="1">
      <extLst>
        <ext xmlns:x15="http://schemas.microsoft.com/office/spreadsheetml/2010/11/main" uri="{B97F6D7D-B522-45F9-BDA1-12C45D357490}">
          <x15:cacheHierarchy aggregatedColumn="23"/>
        </ext>
      </extLst>
    </cacheHierarchy>
    <cacheHierarchy uniqueName="[Measures].[Count of Attrition]" caption="Count of Attrition"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605.868821875003" backgroundQuery="1" createdVersion="8" refreshedVersion="8" minRefreshableVersion="3" recordCount="0" supportSubquery="1" supportAdvancedDrill="1" xr:uid="{61EE3F65-72B5-4783-A959-8D1FA7785298}">
  <cacheSource type="external" connectionId="3"/>
  <cacheFields count="2">
    <cacheField name="[Table_1].[Department].[Department]" caption="Department" numFmtId="0" hierarchy="4" level="1">
      <sharedItems count="3">
        <s v="HR"/>
        <s v="R&amp;D"/>
        <s v="Sales"/>
      </sharedItems>
    </cacheField>
    <cacheField name="[Measures].[Sum of CF_attrition count]" caption="Sum of CF_attrition count" numFmtId="0" hierarchy="48" level="32767"/>
  </cacheFields>
  <cacheHierarchies count="55">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fieldsUsage count="2">
        <fieldUsage x="-1"/>
        <fieldUsage x="0"/>
      </fieldsUsage>
    </cacheHierarchy>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0"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Count of Education]" caption="Count of Education" measure="1" displayFolder="" measureGroup="Table_1" count="0" hidden="1">
      <extLst>
        <ext xmlns:x15="http://schemas.microsoft.com/office/spreadsheetml/2010/11/main" uri="{B97F6D7D-B522-45F9-BDA1-12C45D357490}">
          <x15:cacheHierarchy aggregatedColumn="23"/>
        </ext>
      </extLst>
    </cacheHierarchy>
    <cacheHierarchy uniqueName="[Measures].[Count of Attrition]" caption="Count of Attrition"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605.940450925926" backgroundQuery="1" createdVersion="8" refreshedVersion="8" minRefreshableVersion="3" recordCount="0" supportSubquery="1" supportAdvancedDrill="1" xr:uid="{1731CB97-7C2E-4E5B-A582-4B40F64EAD3A}">
  <cacheSource type="external" connectionId="3"/>
  <cacheFields count="2">
    <cacheField name="[Table_1].[Marital Status].[Marital Status]" caption="Marital Status" numFmtId="0" hierarchy="10" level="1">
      <sharedItems count="3">
        <s v="Divorced"/>
        <s v="Married"/>
        <s v="Single"/>
      </sharedItems>
    </cacheField>
    <cacheField name="[Measures].[Count of Attrition]" caption="Count of Attrition" numFmtId="0" hierarchy="54" level="32767"/>
  </cacheFields>
  <cacheHierarchies count="55">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0"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fieldsUsage count="2">
        <fieldUsage x="-1"/>
        <fieldUsage x="0"/>
      </fieldsUsage>
    </cacheHierarchy>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Count of Education]" caption="Count of Education" measure="1" displayFolder="" measureGroup="Table_1" count="0" hidden="1">
      <extLst>
        <ext xmlns:x15="http://schemas.microsoft.com/office/spreadsheetml/2010/11/main" uri="{B97F6D7D-B522-45F9-BDA1-12C45D357490}">
          <x15:cacheHierarchy aggregatedColumn="23"/>
        </ext>
      </extLst>
    </cacheHierarchy>
    <cacheHierarchy uniqueName="[Measures].[Count of Attrition]" caption="Count of Attrition" measure="1" displayFolder="" measureGroup="Table_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608.01062789352" backgroundQuery="1" createdVersion="8" refreshedVersion="8" minRefreshableVersion="3" recordCount="0" supportSubquery="1" supportAdvancedDrill="1" xr:uid="{E73D6615-DB6A-4375-888B-6488A8F78E97}">
  <cacheSource type="external" connectionId="3"/>
  <cacheFields count="2">
    <cacheField name="[Measures].[Average of Job Satisfaction]" caption="Average of Job Satisfaction" numFmtId="0" hierarchy="52" level="32767"/>
    <cacheField name="[Table_1].[Attrition].[Attrition]" caption="Attrition" numFmtId="0" level="1">
      <sharedItems containsSemiMixedTypes="0" containsNonDate="0" containsString="0"/>
    </cacheField>
  </cacheFields>
  <cacheHierarchies count="55">
    <cacheHierarchy uniqueName="[Table_1].[Attrition]" caption="Attrition" attribute="1" defaultMemberUniqueName="[Table_1].[Attrition].[All]" allUniqueName="[Table_1].[Attrition].[All]" dimensionUniqueName="[Table_1]" displayFolder="" count="2" memberValueDatatype="130" unbalanced="0">
      <fieldsUsage count="2">
        <fieldUsage x="-1"/>
        <fieldUsage x="1"/>
      </fieldsUsage>
    </cacheHierarchy>
    <cacheHierarchy uniqueName="[Table_1].[Business Travel]" caption="Business Travel" attribute="1" defaultMemberUniqueName="[Table_1].[Business Travel].[All]" allUniqueName="[Table_1].[Business Travel].[All]" dimensionUniqueName="[Table_1]" displayFolder="" count="2" memberValueDatatype="130" unbalanced="0"/>
    <cacheHierarchy uniqueName="[Table_1].[CF_age band]" caption="CF_age band" attribute="1" defaultMemberUniqueName="[Table_1].[CF_age band].[All]" allUniqueName="[Table_1].[CF_age band].[All]" dimensionUniqueName="[Table_1]" displayFolder="" count="2" memberValueDatatype="130" unbalanced="0"/>
    <cacheHierarchy uniqueName="[Table_1].[CF_attrition label]" caption="CF_attrition label" attribute="1" defaultMemberUniqueName="[Table_1].[CF_attrition label].[All]" allUniqueName="[Table_1].[CF_attrition label].[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cacheHierarchy uniqueName="[Table_1].[emp no]" caption="emp no" attribute="1" defaultMemberUniqueName="[Table_1].[emp no].[All]" allUniqueName="[Table_1].[emp no].[All]" dimensionUniqueName="[Table_1]" displayFolder="" count="2" memberValueDatatype="130" unbalanced="0"/>
    <cacheHierarchy uniqueName="[Table_1].[Employee Number]" caption="Employee Number" attribute="1" defaultMemberUniqueName="[Table_1].[Employee Number].[All]" allUniqueName="[Table_1].[Employee Number].[All]" dimensionUniqueName="[Table_1]" displayFolder="" count="2"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cacheHierarchy uniqueName="[Table_1].[Over Time]" caption="Over Time" attribute="1" defaultMemberUniqueName="[Table_1].[Over Time].[All]" allUniqueName="[Table_1].[Over Time].[All]" dimensionUniqueName="[Table_1]" displayFolder="" count="2" memberValueDatatype="130" unbalanced="0"/>
    <cacheHierarchy uniqueName="[Table_1].[Over18]" caption="Over18" attribute="1" defaultMemberUniqueName="[Table_1].[Over18].[All]" allUniqueName="[Table_1].[Over18].[All]" dimensionUniqueName="[Table_1]" displayFolder="" count="2"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2" memberValueDatatype="20" unbalanced="0"/>
    <cacheHierarchy uniqueName="[Table_1].[-2]" caption="-2" attribute="1" defaultMemberUniqueName="[Table_1].[-2].[All]" allUniqueName="[Table_1].[-2].[All]" dimensionUniqueName="[Table_1]" displayFolder="" count="2" memberValueDatatype="20" unbalanced="0"/>
    <cacheHierarchy uniqueName="[Table_1].[0]" caption="0" attribute="1" defaultMemberUniqueName="[Table_1].[0].[All]" allUniqueName="[Table_1].[0].[All]" dimensionUniqueName="[Table_1]" displayFolder="" count="2" memberValueDatatype="20" unbalanced="0"/>
    <cacheHierarchy uniqueName="[Table_1].[Age]" caption="Age" attribute="1" defaultMemberUniqueName="[Table_1].[Age].[All]" allUniqueName="[Table_1].[Age].[All]" dimensionUniqueName="[Table_1]" displayFolder="" count="2" memberValueDatatype="20" unbalanced="0"/>
    <cacheHierarchy uniqueName="[Table_1].[CF_attrition count]" caption="CF_attrition count" attribute="1" defaultMemberUniqueName="[Table_1].[CF_attrition count].[All]" allUniqueName="[Table_1].[CF_attrition count].[All]" dimensionUniqueName="[Table_1]" displayFolder="" count="2" memberValueDatatype="20" unbalanced="0"/>
    <cacheHierarchy uniqueName="[Table_1].[CF_attrition counts]" caption="CF_attrition counts" attribute="1" defaultMemberUniqueName="[Table_1].[CF_attrition counts].[All]" allUniqueName="[Table_1].[CF_attrition counts].[All]" dimensionUniqueName="[Table_1]" displayFolder="" count="2" memberValueDatatype="20" unbalanced="0"/>
    <cacheHierarchy uniqueName="[Table_1].[CF_attrition rate]" caption="CF_attrition rate" attribute="1" defaultMemberUniqueName="[Table_1].[CF_attrition rate].[All]" allUniqueName="[Table_1].[CF_attrition rate].[All]" dimensionUniqueName="[Table_1]" displayFolder="" count="2" memberValueDatatype="20" unbalanced="0"/>
    <cacheHierarchy uniqueName="[Table_1].[CF_current Employee]" caption="CF_current Employee" attribute="1" defaultMemberUniqueName="[Table_1].[CF_current Employee].[All]" allUniqueName="[Table_1].[CF_current Employee].[All]" dimensionUniqueName="[Table_1]" displayFolder="" count="2" memberValueDatatype="20" unbalanced="0"/>
    <cacheHierarchy uniqueName="[Table_1].[Daily Rate]" caption="Daily Rate" attribute="1" defaultMemberUniqueName="[Table_1].[Daily Rate].[All]" allUniqueName="[Table_1].[Daily Rate].[All]" dimensionUniqueName="[Table_1]" displayFolder="" count="2" memberValueDatatype="20" unbalanced="0"/>
    <cacheHierarchy uniqueName="[Table_1].[Distance From Home]" caption="Distance From Home" attribute="1" defaultMemberUniqueName="[Table_1].[Distance From Home].[All]" allUniqueName="[Table_1].[Distance From Home].[All]" dimensionUniqueName="[Table_1]" displayFolder="" count="2"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2"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2" memberValueDatatype="20" unbalanced="0"/>
    <cacheHierarchy uniqueName="[Table_1].[Hourly Rate]" caption="Hourly Rate" attribute="1" defaultMemberUniqueName="[Table_1].[Hourly Rate].[All]" allUniqueName="[Table_1].[Hourly Rate].[All]" dimensionUniqueName="[Table_1]" displayFolder="" count="2" memberValueDatatype="20" unbalanced="0"/>
    <cacheHierarchy uniqueName="[Table_1].[Job Involvement]" caption="Job Involvement" attribute="1" defaultMemberUniqueName="[Table_1].[Job Involvement].[All]" allUniqueName="[Table_1].[Job Involvement].[All]" dimensionUniqueName="[Table_1]" displayFolder="" count="2" memberValueDatatype="20" unbalanced="0"/>
    <cacheHierarchy uniqueName="[Table_1].[Job Level]" caption="Job Level" attribute="1" defaultMemberUniqueName="[Table_1].[Job Level].[All]" allUniqueName="[Table_1].[Job Level].[All]" dimensionUniqueName="[Table_1]" displayFolder="" count="2" memberValueDatatype="20" unbalanced="0"/>
    <cacheHierarchy uniqueName="[Table_1].[Job Satisfaction]" caption="Job Satisfaction" attribute="1" defaultMemberUniqueName="[Table_1].[Job Satisfaction].[All]" allUniqueName="[Table_1].[Job Satisfaction].[All]" dimensionUniqueName="[Table_1]" displayFolder="" count="2" memberValueDatatype="20" unbalanced="0"/>
    <cacheHierarchy uniqueName="[Table_1].[Monthly Income]" caption="Monthly Income" attribute="1" defaultMemberUniqueName="[Table_1].[Monthly Income].[All]" allUniqueName="[Table_1].[Monthly Income].[All]" dimensionUniqueName="[Table_1]" displayFolder="" count="2" memberValueDatatype="20" unbalanced="0"/>
    <cacheHierarchy uniqueName="[Table_1].[Monthly Rate]" caption="Monthly Rate" attribute="1" defaultMemberUniqueName="[Table_1].[Monthly Rate].[All]" allUniqueName="[Table_1].[Monthly Rate].[All]" dimensionUniqueName="[Table_1]" displayFolder="" count="2" memberValueDatatype="20" unbalanced="0"/>
    <cacheHierarchy uniqueName="[Table_1].[Num Companies Worked]" caption="Num Companies Worked" attribute="1" defaultMemberUniqueName="[Table_1].[Num Companies Worked].[All]" allUniqueName="[Table_1].[Num Companies Worked].[All]" dimensionUniqueName="[Table_1]" displayFolder="" count="2" memberValueDatatype="20" unbalanced="0"/>
    <cacheHierarchy uniqueName="[Table_1].[Percent Salary Hike]" caption="Percent Salary Hike" attribute="1" defaultMemberUniqueName="[Table_1].[Percent Salary Hike].[All]" allUniqueName="[Table_1].[Percent Salary Hike].[All]" dimensionUniqueName="[Table_1]" displayFolder="" count="2" memberValueDatatype="20" unbalanced="0"/>
    <cacheHierarchy uniqueName="[Table_1].[Performance Rating]" caption="Performance Rating" attribute="1" defaultMemberUniqueName="[Table_1].[Performance Rating].[All]" allUniqueName="[Table_1].[Performance Rating].[All]" dimensionUniqueName="[Table_1]" displayFolder="" count="2"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2" memberValueDatatype="20" unbalanced="0"/>
    <cacheHierarchy uniqueName="[Table_1].[Standard Hours]" caption="Standard Hours" attribute="1" defaultMemberUniqueName="[Table_1].[Standard Hours].[All]" allUniqueName="[Table_1].[Standard Hours].[All]" dimensionUniqueName="[Table_1]" displayFolder="" count="2" memberValueDatatype="20" unbalanced="0"/>
    <cacheHierarchy uniqueName="[Table_1].[Stock Option Level]" caption="Stock Option Level" attribute="1" defaultMemberUniqueName="[Table_1].[Stock Option Level].[All]" allUniqueName="[Table_1].[Stock Option Level].[All]" dimensionUniqueName="[Table_1]" displayFolder="" count="2" memberValueDatatype="20" unbalanced="0"/>
    <cacheHierarchy uniqueName="[Table_1].[Total Working Years]" caption="Total Working Years" attribute="1" defaultMemberUniqueName="[Table_1].[Total Working Years].[All]" allUniqueName="[Table_1].[Total Working Years].[All]" dimensionUniqueName="[Table_1]" displayFolder="" count="2" memberValueDatatype="20" unbalanced="0"/>
    <cacheHierarchy uniqueName="[Table_1].[Work Life Balance]" caption="Work Life Balance" attribute="1" defaultMemberUniqueName="[Table_1].[Work Life Balance].[All]" allUniqueName="[Table_1].[Work Life Balance].[All]" dimensionUniqueName="[Table_1]" displayFolder="" count="2" memberValueDatatype="20" unbalanced="0"/>
    <cacheHierarchy uniqueName="[Table_1].[Years At Company]" caption="Years At Company" attribute="1" defaultMemberUniqueName="[Table_1].[Years At Company].[All]" allUniqueName="[Table_1].[Years At Company].[All]" dimensionUniqueName="[Table_1]" displayFolder="" count="2" memberValueDatatype="20" unbalanced="0"/>
    <cacheHierarchy uniqueName="[Table_1].[Years In Current Role]" caption="Years In Current Role" attribute="1" defaultMemberUniqueName="[Table_1].[Years In Current Role].[All]" allUniqueName="[Table_1].[Years In Current Role].[All]" dimensionUniqueName="[Table_1]" displayFolder="" count="2"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2"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2"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Education]" caption="Count of Education" measure="1" displayFolder="" measureGroup="Table_1" count="0" hidden="1">
      <extLst>
        <ext xmlns:x15="http://schemas.microsoft.com/office/spreadsheetml/2010/11/main" uri="{B97F6D7D-B522-45F9-BDA1-12C45D357490}">
          <x15:cacheHierarchy aggregatedColumn="23"/>
        </ext>
      </extLst>
    </cacheHierarchy>
    <cacheHierarchy uniqueName="[Measures].[Count of Attrition]" caption="Count of Attrition"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5.015252430552" backgroundQuery="1" createdVersion="8" refreshedVersion="6" minRefreshableVersion="3" recordCount="0" supportSubquery="1" supportAdvancedDrill="1" xr:uid="{3A59B33B-6937-4984-9A2A-4BF8E807464E}">
  <cacheSource type="external" connectionId="3"/>
  <cacheFields count="2">
    <cacheField name="[Table_1].[Gender].[Gender]" caption="Gender" numFmtId="0" hierarchy="8" level="1">
      <sharedItems count="2">
        <s v="Female"/>
        <s v="Male"/>
      </sharedItems>
    </cacheField>
    <cacheField name="[Measures].[Count of Employee Number]" caption="Count of Employee Number" numFmtId="0" hierarchy="47" level="32767"/>
  </cacheFields>
  <cacheHierarchies count="55">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fieldsUsage count="2">
        <fieldUsage x="-1"/>
        <fieldUsage x="0"/>
      </fieldsUsage>
    </cacheHierarchy>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Count of Education]" caption="Count of Education" measure="1" displayFolder="" measureGroup="Table_1" count="0" hidden="1">
      <extLst>
        <ext xmlns:x15="http://schemas.microsoft.com/office/spreadsheetml/2010/11/main" uri="{B97F6D7D-B522-45F9-BDA1-12C45D357490}">
          <x15:cacheHierarchy aggregatedColumn="23"/>
        </ext>
      </extLst>
    </cacheHierarchy>
    <cacheHierarchy uniqueName="[Measures].[Count of Attrition]" caption="Count of Attrition"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5.015270833333" backgroundQuery="1" createdVersion="8" refreshedVersion="6" minRefreshableVersion="3" recordCount="0" supportSubquery="1" supportAdvancedDrill="1" xr:uid="{D18BBB27-4A8E-42B6-90EF-307DA8A9A6F2}">
  <cacheSource type="external" connectionId="3"/>
  <cacheFields count="2">
    <cacheField name="[Table_1].[Job Role].[Job Role]" caption="Job Role" numFmtId="0" hierarchy="9" level="1">
      <sharedItems count="9">
        <s v="Healthcare Representative"/>
        <s v="Human Resources"/>
        <s v="Laboratory Technician"/>
        <s v="Manager"/>
        <s v="Manufacturing Director"/>
        <s v="Research Director"/>
        <s v="Research Scientist"/>
        <s v="Sales Executive"/>
        <s v="Sales Representative"/>
      </sharedItems>
    </cacheField>
    <cacheField name="[Measures].[Sum of CF_attrition count]" caption="Sum of CF_attrition count" numFmtId="0" hierarchy="48" level="32767"/>
  </cacheFields>
  <cacheHierarchies count="55">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2" memberValueDatatype="130" unbalanced="0"/>
    <cacheHierarchy uniqueName="[Table_1].[CF_age band]" caption="CF_age band" attribute="1" defaultMemberUniqueName="[Table_1].[CF_age band].[All]" allUniqueName="[Table_1].[CF_age band].[All]" dimensionUniqueName="[Table_1]" displayFolder="" count="2" memberValueDatatype="130" unbalanced="0"/>
    <cacheHierarchy uniqueName="[Table_1].[CF_attrition label]" caption="CF_attrition label" attribute="1" defaultMemberUniqueName="[Table_1].[CF_attrition label].[All]" allUniqueName="[Table_1].[CF_attrition label].[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cacheHierarchy uniqueName="[Table_1].[emp no]" caption="emp no" attribute="1" defaultMemberUniqueName="[Table_1].[emp no].[All]" allUniqueName="[Table_1].[emp no].[All]" dimensionUniqueName="[Table_1]" displayFolder="" count="2" memberValueDatatype="130" unbalanced="0"/>
    <cacheHierarchy uniqueName="[Table_1].[Employee Number]" caption="Employee Number" attribute="1" defaultMemberUniqueName="[Table_1].[Employee Number].[All]" allUniqueName="[Table_1].[Employee Number].[All]" dimensionUniqueName="[Table_1]" displayFolder="" count="2"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2" memberValueDatatype="130" unbalanced="0">
      <fieldsUsage count="2">
        <fieldUsage x="-1"/>
        <fieldUsage x="0"/>
      </fieldsUsage>
    </cacheHierarchy>
    <cacheHierarchy uniqueName="[Table_1].[Marital Status]" caption="Marital Status" attribute="1" defaultMemberUniqueName="[Table_1].[Marital Status].[All]" allUniqueName="[Table_1].[Marital Status].[All]" dimensionUniqueName="[Table_1]" displayFolder="" count="2" memberValueDatatype="130" unbalanced="0"/>
    <cacheHierarchy uniqueName="[Table_1].[Over Time]" caption="Over Time" attribute="1" defaultMemberUniqueName="[Table_1].[Over Time].[All]" allUniqueName="[Table_1].[Over Time].[All]" dimensionUniqueName="[Table_1]" displayFolder="" count="2" memberValueDatatype="130" unbalanced="0"/>
    <cacheHierarchy uniqueName="[Table_1].[Over18]" caption="Over18" attribute="1" defaultMemberUniqueName="[Table_1].[Over18].[All]" allUniqueName="[Table_1].[Over18].[All]" dimensionUniqueName="[Table_1]" displayFolder="" count="2"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2" memberValueDatatype="20" unbalanced="0"/>
    <cacheHierarchy uniqueName="[Table_1].[-2]" caption="-2" attribute="1" defaultMemberUniqueName="[Table_1].[-2].[All]" allUniqueName="[Table_1].[-2].[All]" dimensionUniqueName="[Table_1]" displayFolder="" count="2" memberValueDatatype="20" unbalanced="0"/>
    <cacheHierarchy uniqueName="[Table_1].[0]" caption="0" attribute="1" defaultMemberUniqueName="[Table_1].[0].[All]" allUniqueName="[Table_1].[0].[All]" dimensionUniqueName="[Table_1]" displayFolder="" count="2" memberValueDatatype="20" unbalanced="0"/>
    <cacheHierarchy uniqueName="[Table_1].[Age]" caption="Age" attribute="1" defaultMemberUniqueName="[Table_1].[Age].[All]" allUniqueName="[Table_1].[Age].[All]" dimensionUniqueName="[Table_1]" displayFolder="" count="2" memberValueDatatype="20" unbalanced="0"/>
    <cacheHierarchy uniqueName="[Table_1].[CF_attrition count]" caption="CF_attrition count" attribute="1" defaultMemberUniqueName="[Table_1].[CF_attrition count].[All]" allUniqueName="[Table_1].[CF_attrition count].[All]" dimensionUniqueName="[Table_1]" displayFolder="" count="2" memberValueDatatype="20" unbalanced="0"/>
    <cacheHierarchy uniqueName="[Table_1].[CF_attrition counts]" caption="CF_attrition counts" attribute="1" defaultMemberUniqueName="[Table_1].[CF_attrition counts].[All]" allUniqueName="[Table_1].[CF_attrition counts].[All]" dimensionUniqueName="[Table_1]" displayFolder="" count="2" memberValueDatatype="20" unbalanced="0"/>
    <cacheHierarchy uniqueName="[Table_1].[CF_attrition rate]" caption="CF_attrition rate" attribute="1" defaultMemberUniqueName="[Table_1].[CF_attrition rate].[All]" allUniqueName="[Table_1].[CF_attrition rate].[All]" dimensionUniqueName="[Table_1]" displayFolder="" count="2" memberValueDatatype="20" unbalanced="0"/>
    <cacheHierarchy uniqueName="[Table_1].[CF_current Employee]" caption="CF_current Employee" attribute="1" defaultMemberUniqueName="[Table_1].[CF_current Employee].[All]" allUniqueName="[Table_1].[CF_current Employee].[All]" dimensionUniqueName="[Table_1]" displayFolder="" count="2" memberValueDatatype="20" unbalanced="0"/>
    <cacheHierarchy uniqueName="[Table_1].[Daily Rate]" caption="Daily Rate" attribute="1" defaultMemberUniqueName="[Table_1].[Daily Rate].[All]" allUniqueName="[Table_1].[Daily Rate].[All]" dimensionUniqueName="[Table_1]" displayFolder="" count="2" memberValueDatatype="20" unbalanced="0"/>
    <cacheHierarchy uniqueName="[Table_1].[Distance From Home]" caption="Distance From Home" attribute="1" defaultMemberUniqueName="[Table_1].[Distance From Home].[All]" allUniqueName="[Table_1].[Distance From Home].[All]" dimensionUniqueName="[Table_1]" displayFolder="" count="2"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2"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2" memberValueDatatype="20" unbalanced="0"/>
    <cacheHierarchy uniqueName="[Table_1].[Hourly Rate]" caption="Hourly Rate" attribute="1" defaultMemberUniqueName="[Table_1].[Hourly Rate].[All]" allUniqueName="[Table_1].[Hourly Rate].[All]" dimensionUniqueName="[Table_1]" displayFolder="" count="2" memberValueDatatype="20" unbalanced="0"/>
    <cacheHierarchy uniqueName="[Table_1].[Job Involvement]" caption="Job Involvement" attribute="1" defaultMemberUniqueName="[Table_1].[Job Involvement].[All]" allUniqueName="[Table_1].[Job Involvement].[All]" dimensionUniqueName="[Table_1]" displayFolder="" count="2" memberValueDatatype="20" unbalanced="0"/>
    <cacheHierarchy uniqueName="[Table_1].[Job Level]" caption="Job Level" attribute="1" defaultMemberUniqueName="[Table_1].[Job Level].[All]" allUniqueName="[Table_1].[Job Level].[All]" dimensionUniqueName="[Table_1]" displayFolder="" count="2" memberValueDatatype="20" unbalanced="0"/>
    <cacheHierarchy uniqueName="[Table_1].[Job Satisfaction]" caption="Job Satisfaction" attribute="1" defaultMemberUniqueName="[Table_1].[Job Satisfaction].[All]" allUniqueName="[Table_1].[Job Satisfaction].[All]" dimensionUniqueName="[Table_1]" displayFolder="" count="2" memberValueDatatype="20" unbalanced="0"/>
    <cacheHierarchy uniqueName="[Table_1].[Monthly Income]" caption="Monthly Income" attribute="1" defaultMemberUniqueName="[Table_1].[Monthly Income].[All]" allUniqueName="[Table_1].[Monthly Income].[All]" dimensionUniqueName="[Table_1]" displayFolder="" count="2" memberValueDatatype="20" unbalanced="0"/>
    <cacheHierarchy uniqueName="[Table_1].[Monthly Rate]" caption="Monthly Rate" attribute="1" defaultMemberUniqueName="[Table_1].[Monthly Rate].[All]" allUniqueName="[Table_1].[Monthly Rate].[All]" dimensionUniqueName="[Table_1]" displayFolder="" count="2" memberValueDatatype="20" unbalanced="0"/>
    <cacheHierarchy uniqueName="[Table_1].[Num Companies Worked]" caption="Num Companies Worked" attribute="1" defaultMemberUniqueName="[Table_1].[Num Companies Worked].[All]" allUniqueName="[Table_1].[Num Companies Worked].[All]" dimensionUniqueName="[Table_1]" displayFolder="" count="2" memberValueDatatype="20" unbalanced="0"/>
    <cacheHierarchy uniqueName="[Table_1].[Percent Salary Hike]" caption="Percent Salary Hike" attribute="1" defaultMemberUniqueName="[Table_1].[Percent Salary Hike].[All]" allUniqueName="[Table_1].[Percent Salary Hike].[All]" dimensionUniqueName="[Table_1]" displayFolder="" count="2" memberValueDatatype="20" unbalanced="0"/>
    <cacheHierarchy uniqueName="[Table_1].[Performance Rating]" caption="Performance Rating" attribute="1" defaultMemberUniqueName="[Table_1].[Performance Rating].[All]" allUniqueName="[Table_1].[Performance Rating].[All]" dimensionUniqueName="[Table_1]" displayFolder="" count="2"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2" memberValueDatatype="20" unbalanced="0"/>
    <cacheHierarchy uniqueName="[Table_1].[Standard Hours]" caption="Standard Hours" attribute="1" defaultMemberUniqueName="[Table_1].[Standard Hours].[All]" allUniqueName="[Table_1].[Standard Hours].[All]" dimensionUniqueName="[Table_1]" displayFolder="" count="2" memberValueDatatype="20" unbalanced="0"/>
    <cacheHierarchy uniqueName="[Table_1].[Stock Option Level]" caption="Stock Option Level" attribute="1" defaultMemberUniqueName="[Table_1].[Stock Option Level].[All]" allUniqueName="[Table_1].[Stock Option Level].[All]" dimensionUniqueName="[Table_1]" displayFolder="" count="2" memberValueDatatype="20" unbalanced="0"/>
    <cacheHierarchy uniqueName="[Table_1].[Total Working Years]" caption="Total Working Years" attribute="1" defaultMemberUniqueName="[Table_1].[Total Working Years].[All]" allUniqueName="[Table_1].[Total Working Years].[All]" dimensionUniqueName="[Table_1]" displayFolder="" count="2" memberValueDatatype="20" unbalanced="0"/>
    <cacheHierarchy uniqueName="[Table_1].[Work Life Balance]" caption="Work Life Balance" attribute="1" defaultMemberUniqueName="[Table_1].[Work Life Balance].[All]" allUniqueName="[Table_1].[Work Life Balance].[All]" dimensionUniqueName="[Table_1]" displayFolder="" count="2" memberValueDatatype="20" unbalanced="0"/>
    <cacheHierarchy uniqueName="[Table_1].[Years At Company]" caption="Years At Company" attribute="1" defaultMemberUniqueName="[Table_1].[Years At Company].[All]" allUniqueName="[Table_1].[Years At Company].[All]" dimensionUniqueName="[Table_1]" displayFolder="" count="2" memberValueDatatype="20" unbalanced="0"/>
    <cacheHierarchy uniqueName="[Table_1].[Years In Current Role]" caption="Years In Current Role" attribute="1" defaultMemberUniqueName="[Table_1].[Years In Current Role].[All]" allUniqueName="[Table_1].[Years In Current Role].[All]" dimensionUniqueName="[Table_1]" displayFolder="" count="2"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2"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2"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Count of Education]" caption="Count of Education" measure="1" displayFolder="" measureGroup="Table_1" count="0" hidden="1">
      <extLst>
        <ext xmlns:x15="http://schemas.microsoft.com/office/spreadsheetml/2010/11/main" uri="{B97F6D7D-B522-45F9-BDA1-12C45D357490}">
          <x15:cacheHierarchy aggregatedColumn="23"/>
        </ext>
      </extLst>
    </cacheHierarchy>
    <cacheHierarchy uniqueName="[Measures].[Count of Attrition]" caption="Count of Attrition"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5.015787731485" backgroundQuery="1" createdVersion="8" refreshedVersion="6" minRefreshableVersion="3" recordCount="0" supportSubquery="1" supportAdvancedDrill="1" xr:uid="{D51D0536-6A2D-4244-A8C9-BD473578832E}">
  <cacheSource type="external" connectionId="3"/>
  <cacheFields count="3">
    <cacheField name="[Table_1].[CF_age band].[CF_age band]" caption="CF_age band" numFmtId="0" hierarchy="2" level="1">
      <sharedItems count="5">
        <s v="25 - 34"/>
        <s v="35 - 44"/>
        <s v="45 - 54"/>
        <s v="Over 55"/>
        <s v="Under 25"/>
      </sharedItems>
    </cacheField>
    <cacheField name="[Measures].[Sum of CF_attrition count]" caption="Sum of CF_attrition count" numFmtId="0" hierarchy="48" level="32767"/>
    <cacheField name="[Table_1].[Department].[Department]" caption="Department" numFmtId="0" hierarchy="4" level="1">
      <sharedItems containsSemiMixedTypes="0" containsNonDate="0" containsString="0"/>
    </cacheField>
  </cacheFields>
  <cacheHierarchies count="55">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2" memberValueDatatype="130" unbalanced="0"/>
    <cacheHierarchy uniqueName="[Table_1].[CF_age band]" caption="CF_age band" attribute="1" defaultMemberUniqueName="[Table_1].[CF_age band].[All]" allUniqueName="[Table_1].[CF_age band].[All]" dimensionUniqueName="[Table_1]" displayFolder="" count="2" memberValueDatatype="130" unbalanced="0">
      <fieldsUsage count="2">
        <fieldUsage x="-1"/>
        <fieldUsage x="0"/>
      </fieldsUsage>
    </cacheHierarchy>
    <cacheHierarchy uniqueName="[Table_1].[CF_attrition label]" caption="CF_attrition label" attribute="1" defaultMemberUniqueName="[Table_1].[CF_attrition label].[All]" allUniqueName="[Table_1].[CF_attrition label].[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fieldsUsage count="2">
        <fieldUsage x="-1"/>
        <fieldUsage x="2"/>
      </fieldsUsage>
    </cacheHierarchy>
    <cacheHierarchy uniqueName="[Table_1].[Education Field]" caption="Education Field" attribute="1" defaultMemberUniqueName="[Table_1].[Education Field].[All]" allUniqueName="[Table_1].[Education Field].[All]" dimensionUniqueName="[Table_1]" displayFolder="" count="2" memberValueDatatype="130" unbalanced="0"/>
    <cacheHierarchy uniqueName="[Table_1].[emp no]" caption="emp no" attribute="1" defaultMemberUniqueName="[Table_1].[emp no].[All]" allUniqueName="[Table_1].[emp no].[All]" dimensionUniqueName="[Table_1]" displayFolder="" count="2" memberValueDatatype="130" unbalanced="0"/>
    <cacheHierarchy uniqueName="[Table_1].[Employee Number]" caption="Employee Number" attribute="1" defaultMemberUniqueName="[Table_1].[Employee Number].[All]" allUniqueName="[Table_1].[Employee Number].[All]" dimensionUniqueName="[Table_1]" displayFolder="" count="2"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cacheHierarchy uniqueName="[Table_1].[Over Time]" caption="Over Time" attribute="1" defaultMemberUniqueName="[Table_1].[Over Time].[All]" allUniqueName="[Table_1].[Over Time].[All]" dimensionUniqueName="[Table_1]" displayFolder="" count="2" memberValueDatatype="130" unbalanced="0"/>
    <cacheHierarchy uniqueName="[Table_1].[Over18]" caption="Over18" attribute="1" defaultMemberUniqueName="[Table_1].[Over18].[All]" allUniqueName="[Table_1].[Over18].[All]" dimensionUniqueName="[Table_1]" displayFolder="" count="2"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2" memberValueDatatype="20" unbalanced="0"/>
    <cacheHierarchy uniqueName="[Table_1].[-2]" caption="-2" attribute="1" defaultMemberUniqueName="[Table_1].[-2].[All]" allUniqueName="[Table_1].[-2].[All]" dimensionUniqueName="[Table_1]" displayFolder="" count="2" memberValueDatatype="20" unbalanced="0"/>
    <cacheHierarchy uniqueName="[Table_1].[0]" caption="0" attribute="1" defaultMemberUniqueName="[Table_1].[0].[All]" allUniqueName="[Table_1].[0].[All]" dimensionUniqueName="[Table_1]" displayFolder="" count="2" memberValueDatatype="20" unbalanced="0"/>
    <cacheHierarchy uniqueName="[Table_1].[Age]" caption="Age" attribute="1" defaultMemberUniqueName="[Table_1].[Age].[All]" allUniqueName="[Table_1].[Age].[All]" dimensionUniqueName="[Table_1]" displayFolder="" count="2" memberValueDatatype="20" unbalanced="0"/>
    <cacheHierarchy uniqueName="[Table_1].[CF_attrition count]" caption="CF_attrition count" attribute="1" defaultMemberUniqueName="[Table_1].[CF_attrition count].[All]" allUniqueName="[Table_1].[CF_attrition count].[All]" dimensionUniqueName="[Table_1]" displayFolder="" count="2" memberValueDatatype="20" unbalanced="0"/>
    <cacheHierarchy uniqueName="[Table_1].[CF_attrition counts]" caption="CF_attrition counts" attribute="1" defaultMemberUniqueName="[Table_1].[CF_attrition counts].[All]" allUniqueName="[Table_1].[CF_attrition counts].[All]" dimensionUniqueName="[Table_1]" displayFolder="" count="2" memberValueDatatype="20" unbalanced="0"/>
    <cacheHierarchy uniqueName="[Table_1].[CF_attrition rate]" caption="CF_attrition rate" attribute="1" defaultMemberUniqueName="[Table_1].[CF_attrition rate].[All]" allUniqueName="[Table_1].[CF_attrition rate].[All]" dimensionUniqueName="[Table_1]" displayFolder="" count="2" memberValueDatatype="20" unbalanced="0"/>
    <cacheHierarchy uniqueName="[Table_1].[CF_current Employee]" caption="CF_current Employee" attribute="1" defaultMemberUniqueName="[Table_1].[CF_current Employee].[All]" allUniqueName="[Table_1].[CF_current Employee].[All]" dimensionUniqueName="[Table_1]" displayFolder="" count="2" memberValueDatatype="20" unbalanced="0"/>
    <cacheHierarchy uniqueName="[Table_1].[Daily Rate]" caption="Daily Rate" attribute="1" defaultMemberUniqueName="[Table_1].[Daily Rate].[All]" allUniqueName="[Table_1].[Daily Rate].[All]" dimensionUniqueName="[Table_1]" displayFolder="" count="2" memberValueDatatype="20" unbalanced="0"/>
    <cacheHierarchy uniqueName="[Table_1].[Distance From Home]" caption="Distance From Home" attribute="1" defaultMemberUniqueName="[Table_1].[Distance From Home].[All]" allUniqueName="[Table_1].[Distance From Home].[All]" dimensionUniqueName="[Table_1]" displayFolder="" count="2"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2"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2" memberValueDatatype="20" unbalanced="0"/>
    <cacheHierarchy uniqueName="[Table_1].[Hourly Rate]" caption="Hourly Rate" attribute="1" defaultMemberUniqueName="[Table_1].[Hourly Rate].[All]" allUniqueName="[Table_1].[Hourly Rate].[All]" dimensionUniqueName="[Table_1]" displayFolder="" count="2" memberValueDatatype="20" unbalanced="0"/>
    <cacheHierarchy uniqueName="[Table_1].[Job Involvement]" caption="Job Involvement" attribute="1" defaultMemberUniqueName="[Table_1].[Job Involvement].[All]" allUniqueName="[Table_1].[Job Involvement].[All]" dimensionUniqueName="[Table_1]" displayFolder="" count="2" memberValueDatatype="20" unbalanced="0"/>
    <cacheHierarchy uniqueName="[Table_1].[Job Level]" caption="Job Level" attribute="1" defaultMemberUniqueName="[Table_1].[Job Level].[All]" allUniqueName="[Table_1].[Job Level].[All]" dimensionUniqueName="[Table_1]" displayFolder="" count="2" memberValueDatatype="20" unbalanced="0"/>
    <cacheHierarchy uniqueName="[Table_1].[Job Satisfaction]" caption="Job Satisfaction" attribute="1" defaultMemberUniqueName="[Table_1].[Job Satisfaction].[All]" allUniqueName="[Table_1].[Job Satisfaction].[All]" dimensionUniqueName="[Table_1]" displayFolder="" count="2" memberValueDatatype="20" unbalanced="0"/>
    <cacheHierarchy uniqueName="[Table_1].[Monthly Income]" caption="Monthly Income" attribute="1" defaultMemberUniqueName="[Table_1].[Monthly Income].[All]" allUniqueName="[Table_1].[Monthly Income].[All]" dimensionUniqueName="[Table_1]" displayFolder="" count="2" memberValueDatatype="20" unbalanced="0"/>
    <cacheHierarchy uniqueName="[Table_1].[Monthly Rate]" caption="Monthly Rate" attribute="1" defaultMemberUniqueName="[Table_1].[Monthly Rate].[All]" allUniqueName="[Table_1].[Monthly Rate].[All]" dimensionUniqueName="[Table_1]" displayFolder="" count="2" memberValueDatatype="20" unbalanced="0"/>
    <cacheHierarchy uniqueName="[Table_1].[Num Companies Worked]" caption="Num Companies Worked" attribute="1" defaultMemberUniqueName="[Table_1].[Num Companies Worked].[All]" allUniqueName="[Table_1].[Num Companies Worked].[All]" dimensionUniqueName="[Table_1]" displayFolder="" count="2" memberValueDatatype="20" unbalanced="0"/>
    <cacheHierarchy uniqueName="[Table_1].[Percent Salary Hike]" caption="Percent Salary Hike" attribute="1" defaultMemberUniqueName="[Table_1].[Percent Salary Hike].[All]" allUniqueName="[Table_1].[Percent Salary Hike].[All]" dimensionUniqueName="[Table_1]" displayFolder="" count="2" memberValueDatatype="20" unbalanced="0"/>
    <cacheHierarchy uniqueName="[Table_1].[Performance Rating]" caption="Performance Rating" attribute="1" defaultMemberUniqueName="[Table_1].[Performance Rating].[All]" allUniqueName="[Table_1].[Performance Rating].[All]" dimensionUniqueName="[Table_1]" displayFolder="" count="2"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2" memberValueDatatype="20" unbalanced="0"/>
    <cacheHierarchy uniqueName="[Table_1].[Standard Hours]" caption="Standard Hours" attribute="1" defaultMemberUniqueName="[Table_1].[Standard Hours].[All]" allUniqueName="[Table_1].[Standard Hours].[All]" dimensionUniqueName="[Table_1]" displayFolder="" count="2" memberValueDatatype="20" unbalanced="0"/>
    <cacheHierarchy uniqueName="[Table_1].[Stock Option Level]" caption="Stock Option Level" attribute="1" defaultMemberUniqueName="[Table_1].[Stock Option Level].[All]" allUniqueName="[Table_1].[Stock Option Level].[All]" dimensionUniqueName="[Table_1]" displayFolder="" count="2" memberValueDatatype="20" unbalanced="0"/>
    <cacheHierarchy uniqueName="[Table_1].[Total Working Years]" caption="Total Working Years" attribute="1" defaultMemberUniqueName="[Table_1].[Total Working Years].[All]" allUniqueName="[Table_1].[Total Working Years].[All]" dimensionUniqueName="[Table_1]" displayFolder="" count="2" memberValueDatatype="20" unbalanced="0"/>
    <cacheHierarchy uniqueName="[Table_1].[Work Life Balance]" caption="Work Life Balance" attribute="1" defaultMemberUniqueName="[Table_1].[Work Life Balance].[All]" allUniqueName="[Table_1].[Work Life Balance].[All]" dimensionUniqueName="[Table_1]" displayFolder="" count="2" memberValueDatatype="20" unbalanced="0"/>
    <cacheHierarchy uniqueName="[Table_1].[Years At Company]" caption="Years At Company" attribute="1" defaultMemberUniqueName="[Table_1].[Years At Company].[All]" allUniqueName="[Table_1].[Years At Company].[All]" dimensionUniqueName="[Table_1]" displayFolder="" count="2" memberValueDatatype="20" unbalanced="0"/>
    <cacheHierarchy uniqueName="[Table_1].[Years In Current Role]" caption="Years In Current Role" attribute="1" defaultMemberUniqueName="[Table_1].[Years In Current Role].[All]" allUniqueName="[Table_1].[Years In Current Role].[All]" dimensionUniqueName="[Table_1]" displayFolder="" count="2"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2"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2"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Count of Education]" caption="Count of Education" measure="1" displayFolder="" measureGroup="Table_1" count="0" hidden="1">
      <extLst>
        <ext xmlns:x15="http://schemas.microsoft.com/office/spreadsheetml/2010/11/main" uri="{B97F6D7D-B522-45F9-BDA1-12C45D357490}">
          <x15:cacheHierarchy aggregatedColumn="23"/>
        </ext>
      </extLst>
    </cacheHierarchy>
    <cacheHierarchy uniqueName="[Measures].[Count of Attrition]" caption="Count of Attrition"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512.129880324072" backgroundQuery="1" createdVersion="3" refreshedVersion="8" minRefreshableVersion="3" recordCount="0" supportSubquery="1" supportAdvancedDrill="1" xr:uid="{B51E1547-35BA-48F7-90E8-F22F639951A6}">
  <cacheSource type="external" connectionId="3">
    <extLst>
      <ext xmlns:x14="http://schemas.microsoft.com/office/spreadsheetml/2009/9/main" uri="{F057638F-6D5F-4e77-A914-E7F072B9BCA8}">
        <x14:sourceConnection name="ThisWorkbookDataModel"/>
      </ext>
    </extLst>
  </cacheSource>
  <cacheFields count="0"/>
  <cacheHierarchies count="51">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20763412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0E0B0F-AACA-4299-910C-B043357A087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Employee Number" fld="0" subtotal="count" baseField="0" baseItem="0"/>
    <dataField name="Sum of CF_attrition count" fld="1" baseField="0" baseItem="0"/>
    <dataField name="Average of Age" fld="2" subtotal="average" baseField="0" baseItem="2" numFmtId="1"/>
  </dataFields>
  <formats count="1">
    <format dxfId="1">
      <pivotArea outline="0" collapsedLevelsAreSubtotals="1" fieldPosition="0">
        <references count="1">
          <reference field="4294967294" count="1" selected="0">
            <x v="2"/>
          </reference>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Number"/>
    <pivotHierarchy dragToData="1"/>
    <pivotHierarchy dragToData="1"/>
    <pivotHierarchy dragToData="1" caption="Average of Ag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A8F6F4-4773-493A-BE78-6928066CA0E2}" name="Dept wise Attri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Sum of CF_attrition count" fld="1"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C82744-CD1C-436C-98F7-5479E99ED1A7}" name="Atrrition by Job" cacheId="5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6">
  <location ref="A1:B11"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2"/>
    </i>
    <i>
      <x v="7"/>
    </i>
    <i>
      <x v="6"/>
    </i>
    <i>
      <x v="8"/>
    </i>
    <i>
      <x v="1"/>
    </i>
    <i>
      <x v="4"/>
    </i>
    <i>
      <x/>
    </i>
    <i>
      <x v="3"/>
    </i>
    <i>
      <x v="5"/>
    </i>
    <i t="grand">
      <x/>
    </i>
  </rowItems>
  <colItems count="1">
    <i/>
  </colItems>
  <dataFields count="1">
    <dataField name="Sum of CF_attrition count"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A9D5F1-3DDB-42E2-8470-F480D6B3C312}"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Job Satisfaction" fld="0" subtotal="average" baseField="0" baseItem="0" numFmtId="164"/>
  </dataFields>
  <formats count="1">
    <format dxfId="0">
      <pivotArea outline="0" collapsedLevelsAreSubtotals="1" fieldPosition="0"/>
    </format>
  </formats>
  <pivotHierarchies count="55">
    <pivotHierarchy multipleItemSelectionAllowed="1" dragToData="1">
      <members count="1" level="1">
        <member name="[Table_1].[Attrition].&amp;[Yes]"/>
      </members>
    </pivotHierarchy>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Job Satisfactio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B4438C-E12C-4EA1-8250-3C25C6F86055}" name="Gender" cacheId="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mployee Number" fld="1" subtotal="count" baseField="0" baseItem="0"/>
  </dataField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Numb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60A737-FC9A-4CD5-A574-CAD2CC21530E}" name="Education by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8:D14"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3"/>
    </i>
    <i>
      <x/>
    </i>
    <i>
      <x v="4"/>
    </i>
    <i>
      <x v="1"/>
    </i>
    <i t="grand">
      <x/>
    </i>
  </rowItems>
  <colItems count="1">
    <i/>
  </colItems>
  <dataFields count="1">
    <dataField name="Sum of CF_attrition c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81C909-1545-4E45-82E0-D65B8927502F}" name="Attrition by Age group" cacheId="9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5">
  <location ref="E10:F16"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4"/>
    </i>
    <i>
      <x v="2"/>
    </i>
    <i>
      <x v="3"/>
    </i>
    <i t="grand">
      <x/>
    </i>
  </rowItems>
  <colItems count="1">
    <i/>
  </colItems>
  <dataFields count="1">
    <dataField name="Sum of CF_attrition c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92D1E8-9EA6-44CC-AB99-4DBECB02DB58}" name="Marital Statu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Attrition" fld="1"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8664AF8-4904-43A0-980D-98A6C76020DA}" autoFormatId="16" applyNumberFormats="0" applyBorderFormats="0" applyFontFormats="0" applyPatternFormats="0" applyAlignmentFormats="0" applyWidthHeightFormats="0">
  <queryTableRefresh nextId="45">
    <queryTableFields count="44">
      <queryTableField id="1" name="Table_1[Attrition]" tableColumnId="1"/>
      <queryTableField id="2" name="Table_1[Business Travel]" tableColumnId="2"/>
      <queryTableField id="3" name="Table_1[CF_age band]" tableColumnId="3"/>
      <queryTableField id="4" name="Table_1[CF_attrition label]" tableColumnId="4"/>
      <queryTableField id="5" name="Table_1[Department]" tableColumnId="5"/>
      <queryTableField id="6" name="Table_1[Education Field]" tableColumnId="6"/>
      <queryTableField id="7" name="Table_1[emp no]" tableColumnId="7"/>
      <queryTableField id="8" name="Table_1[Employee Number]" tableColumnId="8"/>
      <queryTableField id="9" name="Table_1[Gender]" tableColumnId="9"/>
      <queryTableField id="10" name="Table_1[Job Role]" tableColumnId="10"/>
      <queryTableField id="11" name="Table_1[Marital Status]" tableColumnId="11"/>
      <queryTableField id="12" name="Table_1[Over Time]" tableColumnId="12"/>
      <queryTableField id="13" name="Table_1[Over18]" tableColumnId="13"/>
      <queryTableField id="14" name="Table_1[Training Times Last Year]" tableColumnId="14"/>
      <queryTableField id="15" name="Table_1[-2]" tableColumnId="15"/>
      <queryTableField id="16" name="Table_1[0]" tableColumnId="16"/>
      <queryTableField id="17" name="Table_1[Age]" tableColumnId="17"/>
      <queryTableField id="18" name="Table_1[CF_attrition count]" tableColumnId="18"/>
      <queryTableField id="19" name="Table_1[CF_attrition counts]" tableColumnId="19"/>
      <queryTableField id="20" name="Table_1[CF_attrition rate]" tableColumnId="20"/>
      <queryTableField id="21" name="Table_1[CF_current Employee]" tableColumnId="21"/>
      <queryTableField id="22" name="Table_1[Daily Rate]" tableColumnId="22"/>
      <queryTableField id="23" name="Table_1[Distance From Home]" tableColumnId="23"/>
      <queryTableField id="24" name="Table_1[Education]" tableColumnId="24"/>
      <queryTableField id="25" name="Table_1[Employee Count]" tableColumnId="25"/>
      <queryTableField id="26" name="Table_1[Environment Satisfaction]" tableColumnId="26"/>
      <queryTableField id="27" name="Table_1[Hourly Rate]" tableColumnId="27"/>
      <queryTableField id="28" name="Table_1[Job Involvement]" tableColumnId="28"/>
      <queryTableField id="29" name="Table_1[Job Level]" tableColumnId="29"/>
      <queryTableField id="30" name="Table_1[Job Satisfaction]" tableColumnId="30"/>
      <queryTableField id="31" name="Table_1[Monthly Income]" tableColumnId="31"/>
      <queryTableField id="32" name="Table_1[Monthly Rate]" tableColumnId="32"/>
      <queryTableField id="33" name="Table_1[Num Companies Worked]" tableColumnId="33"/>
      <queryTableField id="34" name="Table_1[Percent Salary Hike]" tableColumnId="34"/>
      <queryTableField id="35" name="Table_1[Performance Rating]" tableColumnId="35"/>
      <queryTableField id="36" name="Table_1[Relationship Satisfaction]" tableColumnId="36"/>
      <queryTableField id="37" name="Table_1[Standard Hours]" tableColumnId="37"/>
      <queryTableField id="38" name="Table_1[Stock Option Level]" tableColumnId="38"/>
      <queryTableField id="39" name="Table_1[Total Working Years]" tableColumnId="39"/>
      <queryTableField id="40" name="Table_1[Work Life Balance]" tableColumnId="40"/>
      <queryTableField id="41" name="Table_1[Years At Company]" tableColumnId="41"/>
      <queryTableField id="42" name="Table_1[Years In Current Role]" tableColumnId="42"/>
      <queryTableField id="43" name="Table_1[Years Since Last Promotion]" tableColumnId="43"/>
      <queryTableField id="44" name="Table_1[Years With Curr Manager]" tableColumnId="4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6EF45A1-6244-4812-A887-55290AD5B0AD}" sourceName="[Table_1].[Gender]">
  <pivotTables>
    <pivotTable tabId="1" name="KPI"/>
  </pivotTables>
  <data>
    <olap pivotCacheId="2076341259">
      <levels count="2">
        <level uniqueName="[Table_1].[Gender].[(All)]" sourceCaption="(All)" count="0"/>
        <level uniqueName="[Table_1].[Gender].[Gender]" sourceCaption="Gender" count="2">
          <ranges>
            <range startItem="0">
              <i n="[Table_1].[Gender].&amp;[Female]" c="Female"/>
              <i n="[Table_1].[Gender].&amp;[Male]" c="Male"/>
            </range>
          </ranges>
        </level>
      </levels>
      <selections count="1">
        <selection n="[Table_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DC0FD7A-260E-41A1-8F3C-D0A4BDA1E2EA}" sourceName="[Table_1].[Gender]">
  <pivotTables>
    <pivotTable tabId="3" name="PivotTable1"/>
  </pivotTables>
  <data>
    <olap pivotCacheId="2076341259">
      <levels count="2">
        <level uniqueName="[Table_1].[Gender].[(All)]" sourceCaption="(All)" count="0"/>
        <level uniqueName="[Table_1].[Gender].[Gender]" sourceCaption="Gender" count="2">
          <ranges>
            <range startItem="0">
              <i n="[Table_1].[Gender].&amp;[Female]" c="Female"/>
              <i n="[Table_1].[Gender].&amp;[Male]" c="Male"/>
            </range>
          </ranges>
        </level>
      </levels>
      <selections count="1">
        <selection n="[Table_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6F8274B-84AE-4FE2-8F65-45044BE10195}" sourceName="[Table_1].[Education Field]">
  <pivotTables>
    <pivotTable tabId="3" name="PivotTable1"/>
  </pivotTables>
  <data>
    <olap pivotCacheId="2076341259">
      <levels count="2">
        <level uniqueName="[Table_1].[Education Field].[(All)]" sourceCaption="(All)" count="0"/>
        <level uniqueName="[Table_1].[Education Field].[Education Field]" sourceCaption="Education Field" count="6">
          <ranges>
            <range startItem="0">
              <i n="[Table_1].[Education Field].&amp;[Human Resources]" c="Human Resources"/>
              <i n="[Table_1].[Education Field].&amp;[Life Sciences]" c="Life Sciences"/>
              <i n="[Table_1].[Education Field].&amp;[Marketing]" c="Marketing"/>
              <i n="[Table_1].[Education Field].&amp;[Medical]" c="Medical"/>
              <i n="[Table_1].[Education Field].&amp;[Other]" c="Other"/>
              <i n="[Table_1].[Education Field].&amp;[Technical Degree]" c="Technical Degree"/>
            </range>
          </ranges>
        </level>
      </levels>
      <selections count="1">
        <selection n="[Table_1].[Education Fiel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F011ADD1-2B8C-4A08-AE67-CB28C2C83C88}" sourceName="[Table_1].[Education Field]">
  <pivotTables>
    <pivotTable tabId="4" name="Gender"/>
  </pivotTables>
  <data>
    <olap pivotCacheId="2076341259">
      <levels count="2">
        <level uniqueName="[Table_1].[Education Field].[(All)]" sourceCaption="(All)" count="0"/>
        <level uniqueName="[Table_1].[Education Field].[Education Field]" sourceCaption="Education Field" count="6">
          <ranges>
            <range startItem="0">
              <i n="[Table_1].[Education Field].&amp;[Human Resources]" c="Human Resources"/>
              <i n="[Table_1].[Education Field].&amp;[Life Sciences]" c="Life Sciences"/>
              <i n="[Table_1].[Education Field].&amp;[Marketing]" c="Marketing"/>
              <i n="[Table_1].[Education Field].&amp;[Medical]" c="Medical"/>
              <i n="[Table_1].[Education Field].&amp;[Other]" c="Other"/>
              <i n="[Table_1].[Education Field].&amp;[Technical Degree]" c="Technical Degree"/>
            </range>
          </ranges>
        </level>
      </levels>
      <selections count="1">
        <selection n="[Table_1].[Education Fiel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B00BFDE7-AB12-46B6-A7D7-EF7ADADEEC56}" sourceName="[Table_1].[Gender]">
  <pivotTables>
    <pivotTable tabId="4" name="Gender"/>
  </pivotTables>
  <data>
    <olap pivotCacheId="2076341259">
      <levels count="2">
        <level uniqueName="[Table_1].[Gender].[(All)]" sourceCaption="(All)" count="0"/>
        <level uniqueName="[Table_1].[Gender].[Gender]" sourceCaption="Gender" count="2">
          <ranges>
            <range startItem="0">
              <i n="[Table_1].[Gender].&amp;[Female]" c="Female"/>
              <i n="[Table_1].[Gender].&amp;[Male]" c="Male"/>
            </range>
          </ranges>
        </level>
      </levels>
      <selections count="1">
        <selection n="[Table_1].[Gend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F76C054-9262-4065-8960-2F3749F362CA}" sourceName="[Table_1].[Department]">
  <pivotTables>
    <pivotTable tabId="8" name="Attrition by Age group"/>
  </pivotTables>
  <data>
    <olap pivotCacheId="2076341259">
      <levels count="2">
        <level uniqueName="[Table_1].[Department].[(All)]" sourceCaption="(All)" count="0"/>
        <level uniqueName="[Table_1].[Department].[Department]" sourceCaption="Department" count="3">
          <ranges>
            <range startItem="0">
              <i n="[Table_1].[Department].&amp;[HR]" c="HR"/>
              <i n="[Table_1].[Department].&amp;[R&amp;D]" c="R&amp;D"/>
              <i n="[Table_1].[Department].&amp;[Sales]" c="Sales"/>
            </range>
          </ranges>
        </level>
      </levels>
      <selections count="1">
        <selection n="[Table_1].[Departm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DA170A7F-B4BC-42FC-988E-377CE63B1CDF}" sourceName="[Table_1].[Education Field]">
  <pivotTables>
    <pivotTable tabId="8" name="Attrition by Age group"/>
  </pivotTables>
  <data>
    <olap pivotCacheId="2076341259">
      <levels count="2">
        <level uniqueName="[Table_1].[Education Field].[(All)]" sourceCaption="(All)" count="0"/>
        <level uniqueName="[Table_1].[Education Field].[Education Field]" sourceCaption="Education Field" count="6">
          <ranges>
            <range startItem="0">
              <i n="[Table_1].[Education Field].&amp;[Human Resources]" c="Human Resources"/>
              <i n="[Table_1].[Education Field].&amp;[Life Sciences]" c="Life Sciences"/>
              <i n="[Table_1].[Education Field].&amp;[Marketing]" c="Marketing"/>
              <i n="[Table_1].[Education Field].&amp;[Medical]" c="Medical"/>
              <i n="[Table_1].[Education Field].&amp;[Other]" c="Other"/>
              <i n="[Table_1].[Education Field].&amp;[Technical Degree]" c="Technical Degree"/>
            </range>
          </ranges>
        </level>
      </levels>
      <selections count="1">
        <selection n="[Table_1].[Education Field].[All]"/>
      </selections>
    </olap>
  </data>
  <extLst>
    <x:ext xmlns:x15="http://schemas.microsoft.com/office/spreadsheetml/2010/11/main" uri="{470722E0-AACD-4C17-9CDC-17EF765DBC7E}">
      <x15:slicerCacheHideItemsWithNoData count="1">
        <x15:slicerCacheOlapLevelName uniqueName="[Table_1].[Education Field].[Education Field]" count="0"/>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4D263E73-F313-455E-A37C-ED2775FF5B0C}" sourceName="[Table_1].[Job Role]">
  <pivotTables>
    <pivotTable tabId="8" name="Attrition by Age group"/>
  </pivotTables>
  <data>
    <olap pivotCacheId="2076341259">
      <levels count="2">
        <level uniqueName="[Table_1].[Job Role].[(All)]" sourceCaption="(All)" count="0"/>
        <level uniqueName="[Table_1].[Job Role].[Job Role]" sourceCaption="Job Role" count="9">
          <ranges>
            <range startItem="0">
              <i n="[Table_1].[Job Role].&amp;[Healthcare Representative]" c="Healthcare Representative"/>
              <i n="[Table_1].[Job Role].&amp;[Human Resources]" c="Human Resources"/>
              <i n="[Table_1].[Job Role].&amp;[Laboratory Technician]" c="Laboratory Technician"/>
              <i n="[Table_1].[Job Role].&amp;[Manager]" c="Manager"/>
              <i n="[Table_1].[Job Role].&amp;[Manufacturing Director]" c="Manufacturing Director"/>
              <i n="[Table_1].[Job Role].&amp;[Research Director]" c="Research Director"/>
              <i n="[Table_1].[Job Role].&amp;[Research Scientist]" c="Research Scientist"/>
              <i n="[Table_1].[Job Role].&amp;[Sales Executive]" c="Sales Executive"/>
              <i n="[Table_1].[Job Role].&amp;[Sales Representative]" c="Sales Representative"/>
            </range>
          </ranges>
        </level>
      </levels>
      <selections count="1">
        <selection n="[Table_1].[Job Rol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1" xr10:uid="{69D177C9-8C94-4DB7-AE1C-2E388F9A0810}" sourceName="[Table_1].[Job Role]">
  <pivotTables>
    <pivotTable tabId="6" name="Atrrition by Job"/>
  </pivotTables>
  <data>
    <olap pivotCacheId="2076341259">
      <levels count="2">
        <level uniqueName="[Table_1].[Job Role].[(All)]" sourceCaption="(All)" count="0"/>
        <level uniqueName="[Table_1].[Job Role].[Job Role]" sourceCaption="Job Role" count="9">
          <ranges>
            <range startItem="0">
              <i n="[Table_1].[Job Role].&amp;[Healthcare Representative]" c="Healthcare Representative"/>
              <i n="[Table_1].[Job Role].&amp;[Human Resources]" c="Human Resources"/>
              <i n="[Table_1].[Job Role].&amp;[Laboratory Technician]" c="Laboratory Technician"/>
              <i n="[Table_1].[Job Role].&amp;[Manager]" c="Manager"/>
              <i n="[Table_1].[Job Role].&amp;[Manufacturing Director]" c="Manufacturing Director"/>
              <i n="[Table_1].[Job Role].&amp;[Research Director]" c="Research Director"/>
              <i n="[Table_1].[Job Role].&amp;[Research Scientist]" c="Research Scientist"/>
              <i n="[Table_1].[Job Role].&amp;[Sales Executive]" c="Sales Executive"/>
              <i n="[Table_1].[Job Role].&amp;[Sales Representative]" c="Sales Representative"/>
            </range>
          </ranges>
        </level>
      </levels>
      <selections count="1">
        <selection n="[Table_1].[Job Rol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7C91019-261B-4345-9868-0EF74B3D00A2}" sourceName="[Table_1].[Attrition]">
  <pivotTables>
    <pivotTable tabId="3" name="PivotTable1"/>
  </pivotTables>
  <data>
    <olap pivotCacheId="2076341259">
      <levels count="2">
        <level uniqueName="[Table_1].[Attrition].[(All)]" sourceCaption="(All)" count="0"/>
        <level uniqueName="[Table_1].[Attrition].[Attrition]" sourceCaption="Attrition" count="2">
          <ranges>
            <range startItem="0">
              <i n="[Table_1].[Attrition].&amp;[No]" c="No"/>
              <i n="[Table_1].[Attrition].&amp;[Yes]" c="Yes"/>
            </range>
          </ranges>
        </level>
      </levels>
      <selections count="1">
        <selection n="[Table_1].[Attrition].&amp;[Y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20EA3CF-E2E7-4EE4-BE81-E6EC3CB990E9}" cache="Slicer_Gender" caption="Gend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163A7B5-C107-4021-BD79-BC6D8D684286}" cache="Slicer_Gender2" columnCount="2" level="1" style="Slicer Style 3" rowHeight="241300"/>
  <slicer name="Department 1" xr10:uid="{23C8B934-EDDC-4AAE-8D47-B307BDF5CE8F}" cache="Slicer_Department" columnCount="3" level="1" style="Slicer Style 3" rowHeight="241300"/>
  <slicer name="Education Field 3" xr10:uid="{65A8A0FC-DD51-4F90-ADAF-FA156A9682A9}" cache="Slicer_Education_Field2" columnCount="2" level="1" style="Slicer Style 3" rowHeight="241300"/>
  <slicer name="Job Role 2" xr10:uid="{62F5D613-6B71-4628-8CD1-29E3F13393BE}" cache="Slicer_Job_Role1" columnCount="3" level="1" style="Slicer Style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1" xr10:uid="{7BF71924-7C35-4D52-AC68-A5934CBCF794}" cache="Slicer_Job_Role1" caption="Job Rol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81E40EA-328F-4DB4-8DB8-507D498EF2C8}" cache="Slicer_Gender1" caption="Gender" level="1" rowHeight="241300"/>
  <slicer name="Education Field" xr10:uid="{AB3F0F75-AF73-4E9D-B6B3-A37B70C2661E}" cache="Slicer_Education_Field" caption="Education Field" level="1" rowHeight="241300"/>
  <slicer name="Attrition" xr10:uid="{E2565814-E9EB-4E89-9B65-C55155249BF0}" cache="Slicer_Attrition" caption="Attrition"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E65EB5AD-ADE2-4FF2-A55A-C2043742FCB1}" cache="Slicer_Education_Field1" caption="Education Field" level="1" rowHeight="241300"/>
  <slicer name="Gender 2" xr10:uid="{07F0C172-08F1-4BF0-93AD-451FAAC028E7}" cache="Slicer_Gender2" caption="Gender"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0FAE6FA-E841-4E08-ACA6-467C0DCEB492}" cache="Slicer_Department" caption="Department" level="1" rowHeight="241300"/>
  <slicer name="Education Field 2" xr10:uid="{415712B6-E9F4-4BB7-A417-ECA9D9F61962}" cache="Slicer_Education_Field2" caption="Education Field" level="1" rowHeight="241300"/>
  <slicer name="Job Role" xr10:uid="{4E3458A1-B294-4EE3-B7F9-E9824C6EC8EB}" cache="Slicer_Job_Role" caption="Job Rol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4C380A-2533-4967-BFA4-EF1F7C8C23A0}" name="Table_ExternalData_1" displayName="Table_ExternalData_1" ref="A3:AR105" tableType="queryTable" totalsRowShown="0">
  <autoFilter ref="A3:AR105" xr:uid="{554C380A-2533-4967-BFA4-EF1F7C8C23A0}"/>
  <tableColumns count="44">
    <tableColumn id="1" xr3:uid="{40E9241D-FDB9-4A65-91F5-10535891D5C9}" uniqueName="1" name="Table_1[Attrition]" queryTableFieldId="1"/>
    <tableColumn id="2" xr3:uid="{F82306F0-A0D4-417B-AB60-41487C34BC7A}" uniqueName="2" name="Table_1[Business Travel]" queryTableFieldId="2"/>
    <tableColumn id="3" xr3:uid="{F0A503FD-2F16-4217-A221-3D580E4FF494}" uniqueName="3" name="Table_1[CF_age band]" queryTableFieldId="3"/>
    <tableColumn id="4" xr3:uid="{64800E3D-F0C2-415B-98E1-0FDB271BF5EA}" uniqueName="4" name="Table_1[CF_attrition label]" queryTableFieldId="4"/>
    <tableColumn id="5" xr3:uid="{C4C76FF7-B9EA-451F-9DD3-1E7143031776}" uniqueName="5" name="Table_1[Department]" queryTableFieldId="5"/>
    <tableColumn id="6" xr3:uid="{8FCE9E27-48F1-481B-B9D7-0CAE75D9434C}" uniqueName="6" name="Table_1[Education Field]" queryTableFieldId="6"/>
    <tableColumn id="7" xr3:uid="{16B8D2AF-FF4F-4441-B6BA-AAB1991820E2}" uniqueName="7" name="Table_1[emp no]" queryTableFieldId="7"/>
    <tableColumn id="8" xr3:uid="{7FEBE90F-C3F2-4090-A287-110487341644}" uniqueName="8" name="Table_1[Employee Number]" queryTableFieldId="8"/>
    <tableColumn id="9" xr3:uid="{4EECD5CE-6E82-4E76-8AE2-2FC19DC9493D}" uniqueName="9" name="Table_1[Gender]" queryTableFieldId="9"/>
    <tableColumn id="10" xr3:uid="{81AE384E-8554-43B0-A06F-A3A3AE36A539}" uniqueName="10" name="Table_1[Job Role]" queryTableFieldId="10"/>
    <tableColumn id="11" xr3:uid="{C800E19B-66F4-428C-8349-E95A9A289CAE}" uniqueName="11" name="Table_1[Marital Status]" queryTableFieldId="11"/>
    <tableColumn id="12" xr3:uid="{FAE3242B-A83B-4962-907A-7A45F8C32855}" uniqueName="12" name="Table_1[Over Time]" queryTableFieldId="12"/>
    <tableColumn id="13" xr3:uid="{5B5AFC84-36EA-4288-BA23-19A69672FB02}" uniqueName="13" name="Table_1[Over18]" queryTableFieldId="13"/>
    <tableColumn id="14" xr3:uid="{D42C7A6A-AF48-44DB-A89B-8E202E525C3C}" uniqueName="14" name="Table_1[Training Times Last Year]" queryTableFieldId="14"/>
    <tableColumn id="15" xr3:uid="{7DF47FF7-B1A1-4403-A53F-97D8B2FCA2D6}" uniqueName="15" name="Table_1[-2]" queryTableFieldId="15"/>
    <tableColumn id="16" xr3:uid="{73810560-4BB6-4F4C-8603-88A02D6478C2}" uniqueName="16" name="Table_1[0]" queryTableFieldId="16"/>
    <tableColumn id="17" xr3:uid="{3D0F34F1-558D-4870-BB78-ADC0B9EC0014}" uniqueName="17" name="Table_1[Age]" queryTableFieldId="17"/>
    <tableColumn id="18" xr3:uid="{7DBDDE49-16DC-4480-82F2-284C124D52EF}" uniqueName="18" name="Table_1[CF_attrition count]" queryTableFieldId="18"/>
    <tableColumn id="19" xr3:uid="{C5375BE6-579B-4FC5-AD68-869B820B0B1A}" uniqueName="19" name="Table_1[CF_attrition counts]" queryTableFieldId="19"/>
    <tableColumn id="20" xr3:uid="{E0490438-C995-4112-9306-A009B7FD0ADE}" uniqueName="20" name="Table_1[CF_attrition rate]" queryTableFieldId="20"/>
    <tableColumn id="21" xr3:uid="{68FBDDC6-102C-4C1C-BB5F-C3CBA74389C1}" uniqueName="21" name="Table_1[CF_current Employee]" queryTableFieldId="21"/>
    <tableColumn id="22" xr3:uid="{E662F916-8A51-4E46-ACE0-921CBAD738EA}" uniqueName="22" name="Table_1[Daily Rate]" queryTableFieldId="22"/>
    <tableColumn id="23" xr3:uid="{AB5DD672-730F-4605-9CD3-C9C0609389FE}" uniqueName="23" name="Table_1[Distance From Home]" queryTableFieldId="23"/>
    <tableColumn id="24" xr3:uid="{66C00D72-4556-4E10-B17D-9A0C7BD5849B}" uniqueName="24" name="Table_1[Education]" queryTableFieldId="24"/>
    <tableColumn id="25" xr3:uid="{8CE80129-8B84-40B2-A00F-D3B29647BCF5}" uniqueName="25" name="Table_1[Employee Count]" queryTableFieldId="25"/>
    <tableColumn id="26" xr3:uid="{3F2A30D4-C04F-400D-9814-5F555946E427}" uniqueName="26" name="Table_1[Environment Satisfaction]" queryTableFieldId="26"/>
    <tableColumn id="27" xr3:uid="{E9135CAA-189D-428D-8DA0-54841F2347E5}" uniqueName="27" name="Table_1[Hourly Rate]" queryTableFieldId="27"/>
    <tableColumn id="28" xr3:uid="{39527414-ACBB-4CD7-BF0A-F790BD88D5E2}" uniqueName="28" name="Table_1[Job Involvement]" queryTableFieldId="28"/>
    <tableColumn id="29" xr3:uid="{89604738-E288-4B83-BDEB-DE71FC99707A}" uniqueName="29" name="Table_1[Job Level]" queryTableFieldId="29"/>
    <tableColumn id="30" xr3:uid="{A02005EE-3EBF-47DA-BA91-96C7F72CD322}" uniqueName="30" name="Table_1[Job Satisfaction]" queryTableFieldId="30"/>
    <tableColumn id="31" xr3:uid="{BA1F4AFA-E1B2-4647-96BC-DA744D78BC53}" uniqueName="31" name="Table_1[Monthly Income]" queryTableFieldId="31"/>
    <tableColumn id="32" xr3:uid="{371D9722-D93C-4B20-A5A3-6E5A2541FA09}" uniqueName="32" name="Table_1[Monthly Rate]" queryTableFieldId="32"/>
    <tableColumn id="33" xr3:uid="{29DCE5BC-C794-4B42-B515-E86E7322BEF8}" uniqueName="33" name="Table_1[Num Companies Worked]" queryTableFieldId="33"/>
    <tableColumn id="34" xr3:uid="{4DF4F755-ECFD-4AA2-9B02-2EDCC3A23523}" uniqueName="34" name="Table_1[Percent Salary Hike]" queryTableFieldId="34"/>
    <tableColumn id="35" xr3:uid="{FDBAAF1A-0C60-4168-9627-B32DDC3C545A}" uniqueName="35" name="Table_1[Performance Rating]" queryTableFieldId="35"/>
    <tableColumn id="36" xr3:uid="{27252631-9584-4DA7-B590-60AD39AF1541}" uniqueName="36" name="Table_1[Relationship Satisfaction]" queryTableFieldId="36"/>
    <tableColumn id="37" xr3:uid="{1DD5F07E-7333-447C-A543-B2111E91B7EA}" uniqueName="37" name="Table_1[Standard Hours]" queryTableFieldId="37"/>
    <tableColumn id="38" xr3:uid="{DE129A95-8809-47AD-A9D4-A5B38DBCA7C9}" uniqueName="38" name="Table_1[Stock Option Level]" queryTableFieldId="38"/>
    <tableColumn id="39" xr3:uid="{77E8A977-BAA5-47CB-9E3E-D52587CB6761}" uniqueName="39" name="Table_1[Total Working Years]" queryTableFieldId="39"/>
    <tableColumn id="40" xr3:uid="{8AF77446-52E1-407F-B371-1EB6AB4C8A80}" uniqueName="40" name="Table_1[Work Life Balance]" queryTableFieldId="40"/>
    <tableColumn id="41" xr3:uid="{D7E246CF-822A-4E82-B5F3-6995DD35AB80}" uniqueName="41" name="Table_1[Years At Company]" queryTableFieldId="41"/>
    <tableColumn id="42" xr3:uid="{467BEAD9-156F-48CC-A1A6-A05A92628C99}" uniqueName="42" name="Table_1[Years In Current Role]" queryTableFieldId="42"/>
    <tableColumn id="43" xr3:uid="{787916EF-AB30-4F0E-A694-B61D0F67B5B1}" uniqueName="43" name="Table_1[Years Since Last Promotion]" queryTableFieldId="43"/>
    <tableColumn id="44" xr3:uid="{28FA1470-7D53-4800-8900-F42E244A61CD}" uniqueName="44" name="Table_1[Years With Curr Manager]" queryTableFieldId="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E5" sqref="E5"/>
    </sheetView>
  </sheetViews>
  <sheetFormatPr defaultRowHeight="15" x14ac:dyDescent="0.25"/>
  <cols>
    <col min="1" max="1" width="26.140625" bestFit="1" customWidth="1"/>
    <col min="2" max="2" width="23.85546875" bestFit="1" customWidth="1"/>
    <col min="3" max="3" width="14.5703125" bestFit="1" customWidth="1"/>
    <col min="4" max="4" width="17.28515625" customWidth="1"/>
    <col min="5" max="5" width="14.28515625" customWidth="1"/>
  </cols>
  <sheetData>
    <row r="1" spans="1:5" x14ac:dyDescent="0.25">
      <c r="A1" t="s">
        <v>0</v>
      </c>
      <c r="B1" t="s">
        <v>1</v>
      </c>
      <c r="C1" t="s">
        <v>2</v>
      </c>
    </row>
    <row r="2" spans="1:5" x14ac:dyDescent="0.25">
      <c r="A2">
        <v>1470</v>
      </c>
      <c r="B2">
        <v>237</v>
      </c>
      <c r="C2" s="1">
        <v>36.923809523809524</v>
      </c>
    </row>
    <row r="4" spans="1:5" x14ac:dyDescent="0.25">
      <c r="A4" t="s">
        <v>3</v>
      </c>
      <c r="B4" t="s">
        <v>4</v>
      </c>
      <c r="C4" t="s">
        <v>5</v>
      </c>
      <c r="D4" t="s">
        <v>6</v>
      </c>
      <c r="E4" t="s">
        <v>7</v>
      </c>
    </row>
    <row r="5" spans="1:5" x14ac:dyDescent="0.25">
      <c r="A5">
        <f>GETPIVOTDATA("[Measures].[Count of Employee Number]",$A$1)</f>
        <v>1470</v>
      </c>
      <c r="B5">
        <f>GETPIVOTDATA("[Measures].[Sum of CF_attrition count]",$A$1)</f>
        <v>237</v>
      </c>
      <c r="C5" s="1">
        <f>GETPIVOTDATA("[Measures].[Average of Age]",$A$1)</f>
        <v>36.923809523809524</v>
      </c>
      <c r="D5">
        <f>A5-B5</f>
        <v>1233</v>
      </c>
      <c r="E5" s="2">
        <f>B5/A5</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5D179-6BEA-44C9-8149-6E9F99DCC558}">
  <dimension ref="A1"/>
  <sheetViews>
    <sheetView showGridLines="0" tabSelected="1" zoomScaleNormal="100" workbookViewId="0">
      <selection activeCell="AA37" sqref="AA37"/>
    </sheetView>
  </sheetViews>
  <sheetFormatPr defaultRowHeight="15" x14ac:dyDescent="0.2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C24AF-C315-49C5-A0E4-54A4E1BAAFA7}">
  <dimension ref="A1:B5"/>
  <sheetViews>
    <sheetView workbookViewId="0">
      <selection activeCell="P30" sqref="P30"/>
    </sheetView>
  </sheetViews>
  <sheetFormatPr defaultRowHeight="15" x14ac:dyDescent="0.25"/>
  <cols>
    <col min="1" max="1" width="13.140625" bestFit="1" customWidth="1"/>
    <col min="2" max="2" width="23.85546875" bestFit="1" customWidth="1"/>
  </cols>
  <sheetData>
    <row r="1" spans="1:2" x14ac:dyDescent="0.25">
      <c r="A1" s="4" t="s">
        <v>11</v>
      </c>
      <c r="B1" t="s">
        <v>1</v>
      </c>
    </row>
    <row r="2" spans="1:2" x14ac:dyDescent="0.25">
      <c r="A2" s="5" t="s">
        <v>31</v>
      </c>
      <c r="B2" s="7">
        <v>5.0632911392405063E-2</v>
      </c>
    </row>
    <row r="3" spans="1:2" x14ac:dyDescent="0.25">
      <c r="A3" s="5" t="s">
        <v>33</v>
      </c>
      <c r="B3" s="7">
        <v>0.3881856540084388</v>
      </c>
    </row>
    <row r="4" spans="1:2" x14ac:dyDescent="0.25">
      <c r="A4" s="5" t="s">
        <v>32</v>
      </c>
      <c r="B4" s="7">
        <v>0.56118143459915615</v>
      </c>
    </row>
    <row r="5" spans="1:2" x14ac:dyDescent="0.25">
      <c r="A5" s="5" t="s">
        <v>14</v>
      </c>
      <c r="B5" s="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BCA6A-A5BE-4D0A-978C-E7CDEDD4C0BB}">
  <dimension ref="A1:AR105"/>
  <sheetViews>
    <sheetView workbookViewId="0"/>
  </sheetViews>
  <sheetFormatPr defaultRowHeight="15" x14ac:dyDescent="0.25"/>
  <cols>
    <col min="1" max="1" width="19.28515625" bestFit="1" customWidth="1"/>
    <col min="2" max="2" width="25.5703125" bestFit="1" customWidth="1"/>
    <col min="3" max="3" width="23" bestFit="1" customWidth="1"/>
    <col min="4" max="4" width="27.28515625" bestFit="1" customWidth="1"/>
    <col min="5" max="5" width="22.5703125" bestFit="1" customWidth="1"/>
    <col min="6" max="6" width="25.5703125" bestFit="1" customWidth="1"/>
    <col min="7" max="7" width="18.42578125" bestFit="1" customWidth="1"/>
    <col min="8" max="8" width="28.7109375" bestFit="1" customWidth="1"/>
    <col min="9" max="9" width="18.42578125" bestFit="1" customWidth="1"/>
    <col min="10" max="10" width="19.140625" bestFit="1" customWidth="1"/>
    <col min="11" max="11" width="24.28515625" bestFit="1" customWidth="1"/>
    <col min="12" max="12" width="21" bestFit="1" customWidth="1"/>
    <col min="13" max="13" width="18" bestFit="1" customWidth="1"/>
    <col min="14" max="14" width="33.42578125" bestFit="1" customWidth="1"/>
    <col min="15" max="15" width="13.28515625" bestFit="1" customWidth="1"/>
    <col min="16" max="16" width="12.5703125" bestFit="1" customWidth="1"/>
    <col min="17" max="17" width="15" bestFit="1" customWidth="1"/>
    <col min="18" max="18" width="28" bestFit="1" customWidth="1"/>
    <col min="19" max="19" width="28.85546875" bestFit="1" customWidth="1"/>
    <col min="20" max="20" width="26.42578125" bestFit="1" customWidth="1"/>
    <col min="21" max="21" width="31" bestFit="1" customWidth="1"/>
    <col min="22" max="22" width="20.7109375" bestFit="1" customWidth="1"/>
    <col min="23" max="23" width="30.42578125" bestFit="1" customWidth="1"/>
    <col min="24" max="24" width="20.5703125" bestFit="1" customWidth="1"/>
    <col min="25" max="25" width="26.5703125" bestFit="1" customWidth="1"/>
    <col min="26" max="26" width="34.42578125" bestFit="1" customWidth="1"/>
    <col min="27" max="27" width="22.140625" bestFit="1" customWidth="1"/>
    <col min="28" max="28" width="26.7109375" bestFit="1" customWidth="1"/>
    <col min="29" max="29" width="20" bestFit="1" customWidth="1"/>
    <col min="30" max="30" width="25.7109375" bestFit="1" customWidth="1"/>
    <col min="31" max="31" width="26.5703125" bestFit="1" customWidth="1"/>
    <col min="32" max="32" width="24" bestFit="1" customWidth="1"/>
    <col min="33" max="33" width="34.42578125" bestFit="1" customWidth="1"/>
    <col min="34" max="34" width="29.140625" bestFit="1" customWidth="1"/>
    <col min="35" max="35" width="29.5703125" bestFit="1" customWidth="1"/>
    <col min="36" max="36" width="34.140625" bestFit="1" customWidth="1"/>
    <col min="37" max="37" width="25.42578125" bestFit="1" customWidth="1"/>
    <col min="38" max="38" width="28.5703125" bestFit="1" customWidth="1"/>
    <col min="39" max="39" width="29.85546875" bestFit="1" customWidth="1"/>
    <col min="40" max="40" width="28" bestFit="1" customWidth="1"/>
    <col min="41" max="41" width="28.140625" bestFit="1" customWidth="1"/>
    <col min="42" max="42" width="30.7109375" bestFit="1" customWidth="1"/>
    <col min="43" max="43" width="36.140625" bestFit="1" customWidth="1"/>
    <col min="44" max="44" width="34.42578125" bestFit="1" customWidth="1"/>
  </cols>
  <sheetData>
    <row r="1" spans="1:44" x14ac:dyDescent="0.25">
      <c r="A1" s="9" t="s">
        <v>203</v>
      </c>
    </row>
    <row r="3" spans="1:44" x14ac:dyDescent="0.25">
      <c r="A3" t="s">
        <v>46</v>
      </c>
      <c r="B3" t="s">
        <v>47</v>
      </c>
      <c r="C3" t="s">
        <v>48</v>
      </c>
      <c r="D3" t="s">
        <v>49</v>
      </c>
      <c r="E3" t="s">
        <v>50</v>
      </c>
      <c r="F3" t="s">
        <v>51</v>
      </c>
      <c r="G3" t="s">
        <v>52</v>
      </c>
      <c r="H3" t="s">
        <v>53</v>
      </c>
      <c r="I3" t="s">
        <v>54</v>
      </c>
      <c r="J3" t="s">
        <v>55</v>
      </c>
      <c r="K3" t="s">
        <v>56</v>
      </c>
      <c r="L3" t="s">
        <v>57</v>
      </c>
      <c r="M3" t="s">
        <v>58</v>
      </c>
      <c r="N3" t="s">
        <v>59</v>
      </c>
      <c r="O3" t="s">
        <v>60</v>
      </c>
      <c r="P3" t="s">
        <v>61</v>
      </c>
      <c r="Q3" t="s">
        <v>62</v>
      </c>
      <c r="R3" t="s">
        <v>63</v>
      </c>
      <c r="S3" t="s">
        <v>64</v>
      </c>
      <c r="T3" t="s">
        <v>65</v>
      </c>
      <c r="U3" t="s">
        <v>66</v>
      </c>
      <c r="V3" t="s">
        <v>67</v>
      </c>
      <c r="W3" t="s">
        <v>68</v>
      </c>
      <c r="X3" t="s">
        <v>69</v>
      </c>
      <c r="Y3" t="s">
        <v>70</v>
      </c>
      <c r="Z3" t="s">
        <v>71</v>
      </c>
      <c r="AA3" t="s">
        <v>72</v>
      </c>
      <c r="AB3" t="s">
        <v>73</v>
      </c>
      <c r="AC3" t="s">
        <v>74</v>
      </c>
      <c r="AD3" t="s">
        <v>75</v>
      </c>
      <c r="AE3" t="s">
        <v>76</v>
      </c>
      <c r="AF3" t="s">
        <v>77</v>
      </c>
      <c r="AG3" t="s">
        <v>78</v>
      </c>
      <c r="AH3" t="s">
        <v>79</v>
      </c>
      <c r="AI3" t="s">
        <v>80</v>
      </c>
      <c r="AJ3" t="s">
        <v>81</v>
      </c>
      <c r="AK3" t="s">
        <v>82</v>
      </c>
      <c r="AL3" t="s">
        <v>83</v>
      </c>
      <c r="AM3" t="s">
        <v>84</v>
      </c>
      <c r="AN3" t="s">
        <v>85</v>
      </c>
      <c r="AO3" t="s">
        <v>86</v>
      </c>
      <c r="AP3" t="s">
        <v>87</v>
      </c>
      <c r="AQ3" t="s">
        <v>88</v>
      </c>
      <c r="AR3" t="s">
        <v>89</v>
      </c>
    </row>
    <row r="4" spans="1:44" x14ac:dyDescent="0.25">
      <c r="A4" t="s">
        <v>43</v>
      </c>
      <c r="B4" t="s">
        <v>90</v>
      </c>
      <c r="C4" t="s">
        <v>36</v>
      </c>
      <c r="D4" t="s">
        <v>91</v>
      </c>
      <c r="E4" t="s">
        <v>33</v>
      </c>
      <c r="F4" t="s">
        <v>92</v>
      </c>
      <c r="G4" t="s">
        <v>93</v>
      </c>
      <c r="H4">
        <v>298</v>
      </c>
      <c r="I4" t="s">
        <v>12</v>
      </c>
      <c r="J4" t="s">
        <v>23</v>
      </c>
      <c r="K4" t="s">
        <v>42</v>
      </c>
      <c r="L4" t="s">
        <v>44</v>
      </c>
      <c r="M4" t="s">
        <v>94</v>
      </c>
      <c r="N4">
        <v>3</v>
      </c>
      <c r="O4">
        <v>-2</v>
      </c>
      <c r="P4">
        <v>0</v>
      </c>
      <c r="Q4">
        <v>41</v>
      </c>
      <c r="R4">
        <v>0</v>
      </c>
      <c r="T4">
        <v>0</v>
      </c>
      <c r="U4">
        <v>1</v>
      </c>
      <c r="V4">
        <v>896</v>
      </c>
      <c r="W4">
        <v>6</v>
      </c>
      <c r="X4" t="s">
        <v>16</v>
      </c>
      <c r="Y4">
        <v>1</v>
      </c>
      <c r="Z4">
        <v>4</v>
      </c>
      <c r="AA4">
        <v>75</v>
      </c>
      <c r="AB4">
        <v>3</v>
      </c>
      <c r="AC4">
        <v>3</v>
      </c>
      <c r="AD4">
        <v>2</v>
      </c>
      <c r="AE4">
        <v>13591</v>
      </c>
      <c r="AF4">
        <v>14674</v>
      </c>
      <c r="AG4">
        <v>3</v>
      </c>
      <c r="AH4">
        <v>18</v>
      </c>
      <c r="AI4">
        <v>3</v>
      </c>
      <c r="AJ4">
        <v>3</v>
      </c>
      <c r="AK4">
        <v>80</v>
      </c>
      <c r="AL4">
        <v>0</v>
      </c>
      <c r="AM4">
        <v>16</v>
      </c>
      <c r="AN4">
        <v>3</v>
      </c>
      <c r="AO4">
        <v>1</v>
      </c>
      <c r="AP4">
        <v>0</v>
      </c>
      <c r="AQ4">
        <v>0</v>
      </c>
      <c r="AR4">
        <v>0</v>
      </c>
    </row>
    <row r="5" spans="1:44" x14ac:dyDescent="0.25">
      <c r="A5" t="s">
        <v>43</v>
      </c>
      <c r="B5" t="s">
        <v>90</v>
      </c>
      <c r="C5" t="s">
        <v>37</v>
      </c>
      <c r="D5" t="s">
        <v>91</v>
      </c>
      <c r="E5" t="s">
        <v>33</v>
      </c>
      <c r="F5" t="s">
        <v>95</v>
      </c>
      <c r="G5" t="s">
        <v>96</v>
      </c>
      <c r="H5">
        <v>473</v>
      </c>
      <c r="I5" t="s">
        <v>12</v>
      </c>
      <c r="J5" t="s">
        <v>23</v>
      </c>
      <c r="K5" t="s">
        <v>41</v>
      </c>
      <c r="L5" t="s">
        <v>43</v>
      </c>
      <c r="M5" t="s">
        <v>94</v>
      </c>
      <c r="N5">
        <v>3</v>
      </c>
      <c r="O5">
        <v>-2</v>
      </c>
      <c r="P5">
        <v>0</v>
      </c>
      <c r="Q5">
        <v>48</v>
      </c>
      <c r="R5">
        <v>0</v>
      </c>
      <c r="T5">
        <v>0</v>
      </c>
      <c r="U5">
        <v>1</v>
      </c>
      <c r="V5">
        <v>530</v>
      </c>
      <c r="W5">
        <v>29</v>
      </c>
      <c r="X5" t="s">
        <v>18</v>
      </c>
      <c r="Y5">
        <v>1</v>
      </c>
      <c r="Z5">
        <v>1</v>
      </c>
      <c r="AA5">
        <v>91</v>
      </c>
      <c r="AB5">
        <v>3</v>
      </c>
      <c r="AC5">
        <v>3</v>
      </c>
      <c r="AD5">
        <v>3</v>
      </c>
      <c r="AE5">
        <v>12504</v>
      </c>
      <c r="AF5">
        <v>23978</v>
      </c>
      <c r="AG5">
        <v>3</v>
      </c>
      <c r="AH5">
        <v>21</v>
      </c>
      <c r="AI5">
        <v>4</v>
      </c>
      <c r="AJ5">
        <v>2</v>
      </c>
      <c r="AK5">
        <v>80</v>
      </c>
      <c r="AL5">
        <v>1</v>
      </c>
      <c r="AM5">
        <v>15</v>
      </c>
      <c r="AN5">
        <v>1</v>
      </c>
      <c r="AO5">
        <v>0</v>
      </c>
      <c r="AP5">
        <v>0</v>
      </c>
      <c r="AQ5">
        <v>0</v>
      </c>
      <c r="AR5">
        <v>0</v>
      </c>
    </row>
    <row r="6" spans="1:44" x14ac:dyDescent="0.25">
      <c r="A6" t="s">
        <v>43</v>
      </c>
      <c r="B6" t="s">
        <v>90</v>
      </c>
      <c r="C6" t="s">
        <v>38</v>
      </c>
      <c r="D6" t="s">
        <v>91</v>
      </c>
      <c r="E6" t="s">
        <v>33</v>
      </c>
      <c r="F6" t="s">
        <v>97</v>
      </c>
      <c r="G6" t="s">
        <v>98</v>
      </c>
      <c r="H6">
        <v>568</v>
      </c>
      <c r="I6" t="s">
        <v>13</v>
      </c>
      <c r="J6" t="s">
        <v>23</v>
      </c>
      <c r="K6" t="s">
        <v>40</v>
      </c>
      <c r="L6" t="s">
        <v>43</v>
      </c>
      <c r="M6" t="s">
        <v>94</v>
      </c>
      <c r="N6">
        <v>3</v>
      </c>
      <c r="O6">
        <v>-2</v>
      </c>
      <c r="P6">
        <v>0</v>
      </c>
      <c r="Q6">
        <v>57</v>
      </c>
      <c r="R6">
        <v>0</v>
      </c>
      <c r="T6">
        <v>0</v>
      </c>
      <c r="U6">
        <v>1</v>
      </c>
      <c r="V6">
        <v>210</v>
      </c>
      <c r="W6">
        <v>29</v>
      </c>
      <c r="X6" t="s">
        <v>16</v>
      </c>
      <c r="Y6">
        <v>1</v>
      </c>
      <c r="Z6">
        <v>1</v>
      </c>
      <c r="AA6">
        <v>56</v>
      </c>
      <c r="AB6">
        <v>2</v>
      </c>
      <c r="AC6">
        <v>4</v>
      </c>
      <c r="AD6">
        <v>1</v>
      </c>
      <c r="AE6">
        <v>14118</v>
      </c>
      <c r="AF6">
        <v>22102</v>
      </c>
      <c r="AG6">
        <v>3</v>
      </c>
      <c r="AH6">
        <v>12</v>
      </c>
      <c r="AI6">
        <v>3</v>
      </c>
      <c r="AJ6">
        <v>3</v>
      </c>
      <c r="AK6">
        <v>80</v>
      </c>
      <c r="AL6">
        <v>1</v>
      </c>
      <c r="AM6">
        <v>32</v>
      </c>
      <c r="AN6">
        <v>2</v>
      </c>
      <c r="AO6">
        <v>1</v>
      </c>
      <c r="AP6">
        <v>0</v>
      </c>
      <c r="AQ6">
        <v>0</v>
      </c>
      <c r="AR6">
        <v>0</v>
      </c>
    </row>
    <row r="7" spans="1:44" x14ac:dyDescent="0.25">
      <c r="A7" t="s">
        <v>43</v>
      </c>
      <c r="B7" t="s">
        <v>90</v>
      </c>
      <c r="C7" t="s">
        <v>36</v>
      </c>
      <c r="D7" t="s">
        <v>91</v>
      </c>
      <c r="E7" t="s">
        <v>33</v>
      </c>
      <c r="F7" t="s">
        <v>97</v>
      </c>
      <c r="G7" t="s">
        <v>99</v>
      </c>
      <c r="H7">
        <v>1029</v>
      </c>
      <c r="I7" t="s">
        <v>13</v>
      </c>
      <c r="J7" t="s">
        <v>23</v>
      </c>
      <c r="K7" t="s">
        <v>41</v>
      </c>
      <c r="L7" t="s">
        <v>43</v>
      </c>
      <c r="M7" t="s">
        <v>94</v>
      </c>
      <c r="N7">
        <v>3</v>
      </c>
      <c r="O7">
        <v>-2</v>
      </c>
      <c r="P7">
        <v>0</v>
      </c>
      <c r="Q7">
        <v>42</v>
      </c>
      <c r="R7">
        <v>0</v>
      </c>
      <c r="T7">
        <v>0</v>
      </c>
      <c r="U7">
        <v>1</v>
      </c>
      <c r="V7">
        <v>265</v>
      </c>
      <c r="W7">
        <v>5</v>
      </c>
      <c r="X7" t="s">
        <v>15</v>
      </c>
      <c r="Y7">
        <v>1</v>
      </c>
      <c r="Z7">
        <v>4</v>
      </c>
      <c r="AA7">
        <v>90</v>
      </c>
      <c r="AB7">
        <v>3</v>
      </c>
      <c r="AC7">
        <v>5</v>
      </c>
      <c r="AD7">
        <v>2</v>
      </c>
      <c r="AE7">
        <v>18303</v>
      </c>
      <c r="AF7">
        <v>7770</v>
      </c>
      <c r="AG7">
        <v>6</v>
      </c>
      <c r="AH7">
        <v>13</v>
      </c>
      <c r="AI7">
        <v>3</v>
      </c>
      <c r="AJ7">
        <v>2</v>
      </c>
      <c r="AK7">
        <v>80</v>
      </c>
      <c r="AL7">
        <v>0</v>
      </c>
      <c r="AM7">
        <v>21</v>
      </c>
      <c r="AN7">
        <v>4</v>
      </c>
      <c r="AO7">
        <v>1</v>
      </c>
      <c r="AP7">
        <v>0</v>
      </c>
      <c r="AQ7">
        <v>0</v>
      </c>
      <c r="AR7">
        <v>0</v>
      </c>
    </row>
    <row r="8" spans="1:44" x14ac:dyDescent="0.25">
      <c r="A8" t="s">
        <v>43</v>
      </c>
      <c r="B8" t="s">
        <v>90</v>
      </c>
      <c r="C8" t="s">
        <v>37</v>
      </c>
      <c r="D8" t="s">
        <v>91</v>
      </c>
      <c r="E8" t="s">
        <v>32</v>
      </c>
      <c r="F8" t="s">
        <v>95</v>
      </c>
      <c r="G8" t="s">
        <v>100</v>
      </c>
      <c r="H8">
        <v>1256</v>
      </c>
      <c r="I8" t="s">
        <v>13</v>
      </c>
      <c r="J8" t="s">
        <v>23</v>
      </c>
      <c r="K8" t="s">
        <v>41</v>
      </c>
      <c r="L8" t="s">
        <v>43</v>
      </c>
      <c r="M8" t="s">
        <v>94</v>
      </c>
      <c r="N8">
        <v>2</v>
      </c>
      <c r="O8">
        <v>-2</v>
      </c>
      <c r="P8">
        <v>0</v>
      </c>
      <c r="Q8">
        <v>49</v>
      </c>
      <c r="R8">
        <v>0</v>
      </c>
      <c r="T8">
        <v>0</v>
      </c>
      <c r="U8">
        <v>1</v>
      </c>
      <c r="V8">
        <v>1098</v>
      </c>
      <c r="W8">
        <v>4</v>
      </c>
      <c r="X8" t="s">
        <v>15</v>
      </c>
      <c r="Y8">
        <v>1</v>
      </c>
      <c r="Z8">
        <v>1</v>
      </c>
      <c r="AA8">
        <v>85</v>
      </c>
      <c r="AB8">
        <v>2</v>
      </c>
      <c r="AC8">
        <v>5</v>
      </c>
      <c r="AD8">
        <v>3</v>
      </c>
      <c r="AE8">
        <v>18711</v>
      </c>
      <c r="AF8">
        <v>12124</v>
      </c>
      <c r="AG8">
        <v>2</v>
      </c>
      <c r="AH8">
        <v>13</v>
      </c>
      <c r="AI8">
        <v>3</v>
      </c>
      <c r="AJ8">
        <v>3</v>
      </c>
      <c r="AK8">
        <v>80</v>
      </c>
      <c r="AL8">
        <v>1</v>
      </c>
      <c r="AM8">
        <v>23</v>
      </c>
      <c r="AN8">
        <v>4</v>
      </c>
      <c r="AO8">
        <v>1</v>
      </c>
      <c r="AP8">
        <v>0</v>
      </c>
      <c r="AQ8">
        <v>0</v>
      </c>
      <c r="AR8">
        <v>0</v>
      </c>
    </row>
    <row r="9" spans="1:44" x14ac:dyDescent="0.25">
      <c r="A9" t="s">
        <v>43</v>
      </c>
      <c r="B9" t="s">
        <v>101</v>
      </c>
      <c r="C9" t="s">
        <v>37</v>
      </c>
      <c r="D9" t="s">
        <v>91</v>
      </c>
      <c r="E9" t="s">
        <v>32</v>
      </c>
      <c r="F9" t="s">
        <v>95</v>
      </c>
      <c r="G9" t="s">
        <v>102</v>
      </c>
      <c r="H9">
        <v>1306</v>
      </c>
      <c r="I9" t="s">
        <v>12</v>
      </c>
      <c r="J9" t="s">
        <v>23</v>
      </c>
      <c r="K9" t="s">
        <v>42</v>
      </c>
      <c r="L9" t="s">
        <v>43</v>
      </c>
      <c r="M9" t="s">
        <v>94</v>
      </c>
      <c r="N9">
        <v>4</v>
      </c>
      <c r="O9">
        <v>-2</v>
      </c>
      <c r="P9">
        <v>0</v>
      </c>
      <c r="Q9">
        <v>45</v>
      </c>
      <c r="R9">
        <v>0</v>
      </c>
      <c r="T9">
        <v>0</v>
      </c>
      <c r="U9">
        <v>1</v>
      </c>
      <c r="V9">
        <v>364</v>
      </c>
      <c r="W9">
        <v>25</v>
      </c>
      <c r="X9" t="s">
        <v>16</v>
      </c>
      <c r="Y9">
        <v>1</v>
      </c>
      <c r="Z9">
        <v>2</v>
      </c>
      <c r="AA9">
        <v>83</v>
      </c>
      <c r="AB9">
        <v>3</v>
      </c>
      <c r="AC9">
        <v>5</v>
      </c>
      <c r="AD9">
        <v>2</v>
      </c>
      <c r="AE9">
        <v>18061</v>
      </c>
      <c r="AF9">
        <v>13035</v>
      </c>
      <c r="AG9">
        <v>3</v>
      </c>
      <c r="AH9">
        <v>22</v>
      </c>
      <c r="AI9">
        <v>4</v>
      </c>
      <c r="AJ9">
        <v>3</v>
      </c>
      <c r="AK9">
        <v>80</v>
      </c>
      <c r="AL9">
        <v>0</v>
      </c>
      <c r="AM9">
        <v>22</v>
      </c>
      <c r="AN9">
        <v>3</v>
      </c>
      <c r="AO9">
        <v>0</v>
      </c>
      <c r="AP9">
        <v>0</v>
      </c>
      <c r="AQ9">
        <v>0</v>
      </c>
      <c r="AR9">
        <v>0</v>
      </c>
    </row>
    <row r="10" spans="1:44" x14ac:dyDescent="0.25">
      <c r="A10" t="s">
        <v>43</v>
      </c>
      <c r="B10" t="s">
        <v>90</v>
      </c>
      <c r="C10" t="s">
        <v>37</v>
      </c>
      <c r="D10" t="s">
        <v>91</v>
      </c>
      <c r="E10" t="s">
        <v>32</v>
      </c>
      <c r="F10" t="s">
        <v>92</v>
      </c>
      <c r="G10" t="s">
        <v>103</v>
      </c>
      <c r="H10">
        <v>1677</v>
      </c>
      <c r="I10" t="s">
        <v>13</v>
      </c>
      <c r="J10" t="s">
        <v>23</v>
      </c>
      <c r="K10" t="s">
        <v>42</v>
      </c>
      <c r="L10" t="s">
        <v>43</v>
      </c>
      <c r="M10" t="s">
        <v>94</v>
      </c>
      <c r="N10">
        <v>2</v>
      </c>
      <c r="O10">
        <v>-2</v>
      </c>
      <c r="P10">
        <v>0</v>
      </c>
      <c r="Q10">
        <v>49</v>
      </c>
      <c r="R10">
        <v>0</v>
      </c>
      <c r="T10">
        <v>0</v>
      </c>
      <c r="U10">
        <v>1</v>
      </c>
      <c r="V10">
        <v>809</v>
      </c>
      <c r="W10">
        <v>1</v>
      </c>
      <c r="X10" t="s">
        <v>16</v>
      </c>
      <c r="Y10">
        <v>1</v>
      </c>
      <c r="Z10">
        <v>3</v>
      </c>
      <c r="AA10">
        <v>36</v>
      </c>
      <c r="AB10">
        <v>3</v>
      </c>
      <c r="AC10">
        <v>4</v>
      </c>
      <c r="AD10">
        <v>3</v>
      </c>
      <c r="AE10">
        <v>15379</v>
      </c>
      <c r="AF10">
        <v>22384</v>
      </c>
      <c r="AG10">
        <v>4</v>
      </c>
      <c r="AH10">
        <v>14</v>
      </c>
      <c r="AI10">
        <v>3</v>
      </c>
      <c r="AJ10">
        <v>1</v>
      </c>
      <c r="AK10">
        <v>80</v>
      </c>
      <c r="AL10">
        <v>0</v>
      </c>
      <c r="AM10">
        <v>23</v>
      </c>
      <c r="AN10">
        <v>3</v>
      </c>
      <c r="AO10">
        <v>8</v>
      </c>
      <c r="AP10">
        <v>7</v>
      </c>
      <c r="AQ10">
        <v>0</v>
      </c>
      <c r="AR10">
        <v>0</v>
      </c>
    </row>
    <row r="11" spans="1:44" x14ac:dyDescent="0.25">
      <c r="A11" t="s">
        <v>43</v>
      </c>
      <c r="B11" t="s">
        <v>90</v>
      </c>
      <c r="C11" t="s">
        <v>38</v>
      </c>
      <c r="D11" t="s">
        <v>91</v>
      </c>
      <c r="E11" t="s">
        <v>33</v>
      </c>
      <c r="F11" t="s">
        <v>92</v>
      </c>
      <c r="G11" t="s">
        <v>104</v>
      </c>
      <c r="H11">
        <v>1938</v>
      </c>
      <c r="I11" t="s">
        <v>12</v>
      </c>
      <c r="J11" t="s">
        <v>23</v>
      </c>
      <c r="K11" t="s">
        <v>41</v>
      </c>
      <c r="L11" t="s">
        <v>44</v>
      </c>
      <c r="M11" t="s">
        <v>94</v>
      </c>
      <c r="N11">
        <v>2</v>
      </c>
      <c r="O11">
        <v>-2</v>
      </c>
      <c r="P11">
        <v>0</v>
      </c>
      <c r="Q11">
        <v>58</v>
      </c>
      <c r="R11">
        <v>0</v>
      </c>
      <c r="T11">
        <v>0</v>
      </c>
      <c r="U11">
        <v>1</v>
      </c>
      <c r="V11">
        <v>605</v>
      </c>
      <c r="W11">
        <v>21</v>
      </c>
      <c r="X11" t="s">
        <v>16</v>
      </c>
      <c r="Y11">
        <v>1</v>
      </c>
      <c r="Z11">
        <v>4</v>
      </c>
      <c r="AA11">
        <v>72</v>
      </c>
      <c r="AB11">
        <v>3</v>
      </c>
      <c r="AC11">
        <v>4</v>
      </c>
      <c r="AD11">
        <v>4</v>
      </c>
      <c r="AE11">
        <v>17875</v>
      </c>
      <c r="AF11">
        <v>11761</v>
      </c>
      <c r="AG11">
        <v>4</v>
      </c>
      <c r="AH11">
        <v>13</v>
      </c>
      <c r="AI11">
        <v>3</v>
      </c>
      <c r="AJ11">
        <v>3</v>
      </c>
      <c r="AK11">
        <v>80</v>
      </c>
      <c r="AL11">
        <v>1</v>
      </c>
      <c r="AM11">
        <v>29</v>
      </c>
      <c r="AN11">
        <v>2</v>
      </c>
      <c r="AO11">
        <v>1</v>
      </c>
      <c r="AP11">
        <v>0</v>
      </c>
      <c r="AQ11">
        <v>0</v>
      </c>
      <c r="AR11">
        <v>0</v>
      </c>
    </row>
    <row r="12" spans="1:44" x14ac:dyDescent="0.25">
      <c r="A12" t="s">
        <v>43</v>
      </c>
      <c r="B12" t="s">
        <v>90</v>
      </c>
      <c r="C12" t="s">
        <v>37</v>
      </c>
      <c r="D12" t="s">
        <v>91</v>
      </c>
      <c r="E12" t="s">
        <v>33</v>
      </c>
      <c r="F12" t="s">
        <v>97</v>
      </c>
      <c r="G12" t="s">
        <v>105</v>
      </c>
      <c r="H12">
        <v>1591</v>
      </c>
      <c r="I12" t="s">
        <v>13</v>
      </c>
      <c r="J12" t="s">
        <v>23</v>
      </c>
      <c r="K12" t="s">
        <v>41</v>
      </c>
      <c r="L12" t="s">
        <v>44</v>
      </c>
      <c r="M12" t="s">
        <v>94</v>
      </c>
      <c r="N12">
        <v>2</v>
      </c>
      <c r="O12">
        <v>-2</v>
      </c>
      <c r="P12">
        <v>0</v>
      </c>
      <c r="Q12">
        <v>50</v>
      </c>
      <c r="R12">
        <v>0</v>
      </c>
      <c r="T12">
        <v>0</v>
      </c>
      <c r="U12">
        <v>1</v>
      </c>
      <c r="V12">
        <v>264</v>
      </c>
      <c r="W12">
        <v>9</v>
      </c>
      <c r="X12" t="s">
        <v>16</v>
      </c>
      <c r="Y12">
        <v>1</v>
      </c>
      <c r="Z12">
        <v>3</v>
      </c>
      <c r="AA12">
        <v>59</v>
      </c>
      <c r="AB12">
        <v>3</v>
      </c>
      <c r="AC12">
        <v>5</v>
      </c>
      <c r="AD12">
        <v>1</v>
      </c>
      <c r="AE12">
        <v>19331</v>
      </c>
      <c r="AF12">
        <v>19519</v>
      </c>
      <c r="AG12">
        <v>4</v>
      </c>
      <c r="AH12">
        <v>16</v>
      </c>
      <c r="AI12">
        <v>3</v>
      </c>
      <c r="AJ12">
        <v>3</v>
      </c>
      <c r="AK12">
        <v>80</v>
      </c>
      <c r="AL12">
        <v>1</v>
      </c>
      <c r="AM12">
        <v>27</v>
      </c>
      <c r="AN12">
        <v>3</v>
      </c>
      <c r="AO12">
        <v>1</v>
      </c>
      <c r="AP12">
        <v>0</v>
      </c>
      <c r="AQ12">
        <v>0</v>
      </c>
      <c r="AR12">
        <v>0</v>
      </c>
    </row>
    <row r="13" spans="1:44" x14ac:dyDescent="0.25">
      <c r="A13" t="s">
        <v>43</v>
      </c>
      <c r="B13" t="s">
        <v>90</v>
      </c>
      <c r="C13" t="s">
        <v>35</v>
      </c>
      <c r="D13" t="s">
        <v>91</v>
      </c>
      <c r="E13" t="s">
        <v>32</v>
      </c>
      <c r="F13" t="s">
        <v>95</v>
      </c>
      <c r="G13" t="s">
        <v>106</v>
      </c>
      <c r="H13">
        <v>1516</v>
      </c>
      <c r="I13" t="s">
        <v>13</v>
      </c>
      <c r="J13" t="s">
        <v>23</v>
      </c>
      <c r="K13" t="s">
        <v>42</v>
      </c>
      <c r="L13" t="s">
        <v>43</v>
      </c>
      <c r="M13" t="s">
        <v>94</v>
      </c>
      <c r="N13">
        <v>5</v>
      </c>
      <c r="O13">
        <v>-2</v>
      </c>
      <c r="P13">
        <v>0</v>
      </c>
      <c r="Q13">
        <v>32</v>
      </c>
      <c r="R13">
        <v>0</v>
      </c>
      <c r="T13">
        <v>0</v>
      </c>
      <c r="U13">
        <v>1</v>
      </c>
      <c r="V13">
        <v>495</v>
      </c>
      <c r="W13">
        <v>10</v>
      </c>
      <c r="X13" t="s">
        <v>16</v>
      </c>
      <c r="Y13">
        <v>1</v>
      </c>
      <c r="Z13">
        <v>3</v>
      </c>
      <c r="AA13">
        <v>64</v>
      </c>
      <c r="AB13">
        <v>3</v>
      </c>
      <c r="AC13">
        <v>3</v>
      </c>
      <c r="AD13">
        <v>4</v>
      </c>
      <c r="AE13">
        <v>11244</v>
      </c>
      <c r="AF13">
        <v>21072</v>
      </c>
      <c r="AG13">
        <v>2</v>
      </c>
      <c r="AH13">
        <v>25</v>
      </c>
      <c r="AI13">
        <v>4</v>
      </c>
      <c r="AJ13">
        <v>2</v>
      </c>
      <c r="AK13">
        <v>80</v>
      </c>
      <c r="AL13">
        <v>0</v>
      </c>
      <c r="AM13">
        <v>10</v>
      </c>
      <c r="AN13">
        <v>4</v>
      </c>
      <c r="AO13">
        <v>5</v>
      </c>
      <c r="AP13">
        <v>2</v>
      </c>
      <c r="AQ13">
        <v>0</v>
      </c>
      <c r="AR13">
        <v>0</v>
      </c>
    </row>
    <row r="14" spans="1:44" x14ac:dyDescent="0.25">
      <c r="A14" t="s">
        <v>43</v>
      </c>
      <c r="B14" t="s">
        <v>90</v>
      </c>
      <c r="C14" t="s">
        <v>37</v>
      </c>
      <c r="D14" t="s">
        <v>91</v>
      </c>
      <c r="E14" t="s">
        <v>33</v>
      </c>
      <c r="F14" t="s">
        <v>95</v>
      </c>
      <c r="G14" t="s">
        <v>107</v>
      </c>
      <c r="H14">
        <v>323</v>
      </c>
      <c r="I14" t="s">
        <v>12</v>
      </c>
      <c r="J14" t="s">
        <v>23</v>
      </c>
      <c r="K14" t="s">
        <v>40</v>
      </c>
      <c r="L14" t="s">
        <v>43</v>
      </c>
      <c r="M14" t="s">
        <v>94</v>
      </c>
      <c r="N14">
        <v>3</v>
      </c>
      <c r="O14">
        <v>-2</v>
      </c>
      <c r="P14">
        <v>0</v>
      </c>
      <c r="Q14">
        <v>50</v>
      </c>
      <c r="R14">
        <v>0</v>
      </c>
      <c r="T14">
        <v>0</v>
      </c>
      <c r="U14">
        <v>1</v>
      </c>
      <c r="V14">
        <v>854</v>
      </c>
      <c r="W14">
        <v>1</v>
      </c>
      <c r="X14" t="s">
        <v>19</v>
      </c>
      <c r="Y14">
        <v>1</v>
      </c>
      <c r="Z14">
        <v>4</v>
      </c>
      <c r="AA14">
        <v>68</v>
      </c>
      <c r="AB14">
        <v>3</v>
      </c>
      <c r="AC14">
        <v>5</v>
      </c>
      <c r="AD14">
        <v>4</v>
      </c>
      <c r="AE14">
        <v>19517</v>
      </c>
      <c r="AF14">
        <v>24118</v>
      </c>
      <c r="AG14">
        <v>3</v>
      </c>
      <c r="AH14">
        <v>11</v>
      </c>
      <c r="AI14">
        <v>3</v>
      </c>
      <c r="AJ14">
        <v>3</v>
      </c>
      <c r="AK14">
        <v>80</v>
      </c>
      <c r="AL14">
        <v>1</v>
      </c>
      <c r="AM14">
        <v>32</v>
      </c>
      <c r="AN14">
        <v>2</v>
      </c>
      <c r="AO14">
        <v>7</v>
      </c>
      <c r="AP14">
        <v>0</v>
      </c>
      <c r="AQ14">
        <v>0</v>
      </c>
      <c r="AR14">
        <v>6</v>
      </c>
    </row>
    <row r="15" spans="1:44" x14ac:dyDescent="0.25">
      <c r="A15" t="s">
        <v>43</v>
      </c>
      <c r="B15" t="s">
        <v>90</v>
      </c>
      <c r="C15" t="s">
        <v>36</v>
      </c>
      <c r="D15" t="s">
        <v>91</v>
      </c>
      <c r="E15" t="s">
        <v>33</v>
      </c>
      <c r="F15" t="s">
        <v>92</v>
      </c>
      <c r="G15" t="s">
        <v>108</v>
      </c>
      <c r="H15">
        <v>410</v>
      </c>
      <c r="I15" t="s">
        <v>13</v>
      </c>
      <c r="J15" t="s">
        <v>23</v>
      </c>
      <c r="K15" t="s">
        <v>42</v>
      </c>
      <c r="L15" t="s">
        <v>43</v>
      </c>
      <c r="M15" t="s">
        <v>94</v>
      </c>
      <c r="N15">
        <v>2</v>
      </c>
      <c r="O15">
        <v>-2</v>
      </c>
      <c r="P15">
        <v>0</v>
      </c>
      <c r="Q15">
        <v>41</v>
      </c>
      <c r="R15">
        <v>0</v>
      </c>
      <c r="T15">
        <v>0</v>
      </c>
      <c r="U15">
        <v>1</v>
      </c>
      <c r="V15">
        <v>334</v>
      </c>
      <c r="W15">
        <v>2</v>
      </c>
      <c r="X15" t="s">
        <v>19</v>
      </c>
      <c r="Y15">
        <v>1</v>
      </c>
      <c r="Z15">
        <v>4</v>
      </c>
      <c r="AA15">
        <v>88</v>
      </c>
      <c r="AB15">
        <v>3</v>
      </c>
      <c r="AC15">
        <v>4</v>
      </c>
      <c r="AD15">
        <v>2</v>
      </c>
      <c r="AE15">
        <v>16015</v>
      </c>
      <c r="AF15">
        <v>15896</v>
      </c>
      <c r="AG15">
        <v>1</v>
      </c>
      <c r="AH15">
        <v>19</v>
      </c>
      <c r="AI15">
        <v>3</v>
      </c>
      <c r="AJ15">
        <v>2</v>
      </c>
      <c r="AK15">
        <v>80</v>
      </c>
      <c r="AL15">
        <v>0</v>
      </c>
      <c r="AM15">
        <v>22</v>
      </c>
      <c r="AN15">
        <v>3</v>
      </c>
      <c r="AO15">
        <v>22</v>
      </c>
      <c r="AP15">
        <v>10</v>
      </c>
      <c r="AQ15">
        <v>0</v>
      </c>
      <c r="AR15">
        <v>4</v>
      </c>
    </row>
    <row r="16" spans="1:44" x14ac:dyDescent="0.25">
      <c r="A16" t="s">
        <v>43</v>
      </c>
      <c r="B16" t="s">
        <v>90</v>
      </c>
      <c r="C16" t="s">
        <v>35</v>
      </c>
      <c r="D16" t="s">
        <v>91</v>
      </c>
      <c r="E16" t="s">
        <v>33</v>
      </c>
      <c r="F16" t="s">
        <v>92</v>
      </c>
      <c r="G16" t="s">
        <v>109</v>
      </c>
      <c r="H16">
        <v>613</v>
      </c>
      <c r="I16" t="s">
        <v>13</v>
      </c>
      <c r="J16" t="s">
        <v>23</v>
      </c>
      <c r="K16" t="s">
        <v>40</v>
      </c>
      <c r="L16" t="s">
        <v>43</v>
      </c>
      <c r="M16" t="s">
        <v>94</v>
      </c>
      <c r="N16">
        <v>3</v>
      </c>
      <c r="O16">
        <v>-2</v>
      </c>
      <c r="P16">
        <v>0</v>
      </c>
      <c r="Q16">
        <v>31</v>
      </c>
      <c r="R16">
        <v>0</v>
      </c>
      <c r="T16">
        <v>0</v>
      </c>
      <c r="U16">
        <v>1</v>
      </c>
      <c r="V16">
        <v>688</v>
      </c>
      <c r="W16">
        <v>7</v>
      </c>
      <c r="X16" t="s">
        <v>16</v>
      </c>
      <c r="Y16">
        <v>1</v>
      </c>
      <c r="Z16">
        <v>3</v>
      </c>
      <c r="AA16">
        <v>44</v>
      </c>
      <c r="AB16">
        <v>2</v>
      </c>
      <c r="AC16">
        <v>3</v>
      </c>
      <c r="AD16">
        <v>2</v>
      </c>
      <c r="AE16">
        <v>11557</v>
      </c>
      <c r="AF16">
        <v>25291</v>
      </c>
      <c r="AG16">
        <v>9</v>
      </c>
      <c r="AH16">
        <v>21</v>
      </c>
      <c r="AI16">
        <v>4</v>
      </c>
      <c r="AJ16">
        <v>3</v>
      </c>
      <c r="AK16">
        <v>80</v>
      </c>
      <c r="AL16">
        <v>1</v>
      </c>
      <c r="AM16">
        <v>10</v>
      </c>
      <c r="AN16">
        <v>2</v>
      </c>
      <c r="AO16">
        <v>5</v>
      </c>
      <c r="AP16">
        <v>4</v>
      </c>
      <c r="AQ16">
        <v>0</v>
      </c>
      <c r="AR16">
        <v>1</v>
      </c>
    </row>
    <row r="17" spans="1:44" x14ac:dyDescent="0.25">
      <c r="A17" t="s">
        <v>43</v>
      </c>
      <c r="B17" t="s">
        <v>90</v>
      </c>
      <c r="C17" t="s">
        <v>38</v>
      </c>
      <c r="D17" t="s">
        <v>91</v>
      </c>
      <c r="E17" t="s">
        <v>33</v>
      </c>
      <c r="F17" t="s">
        <v>110</v>
      </c>
      <c r="G17" t="s">
        <v>111</v>
      </c>
      <c r="H17">
        <v>1048</v>
      </c>
      <c r="I17" t="s">
        <v>13</v>
      </c>
      <c r="J17" t="s">
        <v>23</v>
      </c>
      <c r="K17" t="s">
        <v>41</v>
      </c>
      <c r="L17" t="s">
        <v>44</v>
      </c>
      <c r="M17" t="s">
        <v>94</v>
      </c>
      <c r="N17">
        <v>1</v>
      </c>
      <c r="O17">
        <v>-2</v>
      </c>
      <c r="P17">
        <v>0</v>
      </c>
      <c r="Q17">
        <v>59</v>
      </c>
      <c r="R17">
        <v>0</v>
      </c>
      <c r="T17">
        <v>0</v>
      </c>
      <c r="U17">
        <v>1</v>
      </c>
      <c r="V17">
        <v>1089</v>
      </c>
      <c r="W17">
        <v>1</v>
      </c>
      <c r="X17" t="s">
        <v>15</v>
      </c>
      <c r="Y17">
        <v>1</v>
      </c>
      <c r="Z17">
        <v>4</v>
      </c>
      <c r="AA17">
        <v>66</v>
      </c>
      <c r="AB17">
        <v>3</v>
      </c>
      <c r="AC17">
        <v>3</v>
      </c>
      <c r="AD17">
        <v>4</v>
      </c>
      <c r="AE17">
        <v>11904</v>
      </c>
      <c r="AF17">
        <v>11038</v>
      </c>
      <c r="AG17">
        <v>3</v>
      </c>
      <c r="AH17">
        <v>14</v>
      </c>
      <c r="AI17">
        <v>3</v>
      </c>
      <c r="AJ17">
        <v>3</v>
      </c>
      <c r="AK17">
        <v>80</v>
      </c>
      <c r="AL17">
        <v>1</v>
      </c>
      <c r="AM17">
        <v>14</v>
      </c>
      <c r="AN17">
        <v>1</v>
      </c>
      <c r="AO17">
        <v>6</v>
      </c>
      <c r="AP17">
        <v>4</v>
      </c>
      <c r="AQ17">
        <v>0</v>
      </c>
      <c r="AR17">
        <v>4</v>
      </c>
    </row>
    <row r="18" spans="1:44" x14ac:dyDescent="0.25">
      <c r="A18" t="s">
        <v>43</v>
      </c>
      <c r="B18" t="s">
        <v>90</v>
      </c>
      <c r="C18" t="s">
        <v>37</v>
      </c>
      <c r="D18" t="s">
        <v>91</v>
      </c>
      <c r="E18" t="s">
        <v>33</v>
      </c>
      <c r="F18" t="s">
        <v>97</v>
      </c>
      <c r="G18" t="s">
        <v>112</v>
      </c>
      <c r="H18">
        <v>1280</v>
      </c>
      <c r="I18" t="s">
        <v>12</v>
      </c>
      <c r="J18" t="s">
        <v>23</v>
      </c>
      <c r="K18" t="s">
        <v>41</v>
      </c>
      <c r="L18" t="s">
        <v>43</v>
      </c>
      <c r="M18" t="s">
        <v>94</v>
      </c>
      <c r="N18">
        <v>2</v>
      </c>
      <c r="O18">
        <v>-2</v>
      </c>
      <c r="P18">
        <v>0</v>
      </c>
      <c r="Q18">
        <v>46</v>
      </c>
      <c r="R18">
        <v>0</v>
      </c>
      <c r="T18">
        <v>0</v>
      </c>
      <c r="U18">
        <v>1</v>
      </c>
      <c r="V18">
        <v>168</v>
      </c>
      <c r="W18">
        <v>4</v>
      </c>
      <c r="X18" t="s">
        <v>15</v>
      </c>
      <c r="Y18">
        <v>1</v>
      </c>
      <c r="Z18">
        <v>4</v>
      </c>
      <c r="AA18">
        <v>33</v>
      </c>
      <c r="AB18">
        <v>2</v>
      </c>
      <c r="AC18">
        <v>5</v>
      </c>
      <c r="AD18">
        <v>2</v>
      </c>
      <c r="AE18">
        <v>18789</v>
      </c>
      <c r="AF18">
        <v>9946</v>
      </c>
      <c r="AG18">
        <v>2</v>
      </c>
      <c r="AH18">
        <v>14</v>
      </c>
      <c r="AI18">
        <v>3</v>
      </c>
      <c r="AJ18">
        <v>3</v>
      </c>
      <c r="AK18">
        <v>80</v>
      </c>
      <c r="AL18">
        <v>1</v>
      </c>
      <c r="AM18">
        <v>26</v>
      </c>
      <c r="AN18">
        <v>3</v>
      </c>
      <c r="AO18">
        <v>11</v>
      </c>
      <c r="AP18">
        <v>4</v>
      </c>
      <c r="AQ18">
        <v>0</v>
      </c>
      <c r="AR18">
        <v>8</v>
      </c>
    </row>
    <row r="19" spans="1:44" x14ac:dyDescent="0.25">
      <c r="A19" t="s">
        <v>43</v>
      </c>
      <c r="B19" t="s">
        <v>90</v>
      </c>
      <c r="C19" t="s">
        <v>37</v>
      </c>
      <c r="D19" t="s">
        <v>91</v>
      </c>
      <c r="E19" t="s">
        <v>31</v>
      </c>
      <c r="F19" t="s">
        <v>92</v>
      </c>
      <c r="G19" t="s">
        <v>113</v>
      </c>
      <c r="H19">
        <v>1352</v>
      </c>
      <c r="I19" t="s">
        <v>13</v>
      </c>
      <c r="J19" t="s">
        <v>23</v>
      </c>
      <c r="K19" t="s">
        <v>40</v>
      </c>
      <c r="L19" t="s">
        <v>44</v>
      </c>
      <c r="M19" t="s">
        <v>94</v>
      </c>
      <c r="N19">
        <v>2</v>
      </c>
      <c r="O19">
        <v>-2</v>
      </c>
      <c r="P19">
        <v>0</v>
      </c>
      <c r="Q19">
        <v>51</v>
      </c>
      <c r="R19">
        <v>0</v>
      </c>
      <c r="T19">
        <v>0</v>
      </c>
      <c r="U19">
        <v>1</v>
      </c>
      <c r="V19">
        <v>770</v>
      </c>
      <c r="W19">
        <v>5</v>
      </c>
      <c r="X19" t="s">
        <v>16</v>
      </c>
      <c r="Y19">
        <v>1</v>
      </c>
      <c r="Z19">
        <v>3</v>
      </c>
      <c r="AA19">
        <v>84</v>
      </c>
      <c r="AB19">
        <v>3</v>
      </c>
      <c r="AC19">
        <v>4</v>
      </c>
      <c r="AD19">
        <v>2</v>
      </c>
      <c r="AE19">
        <v>14026</v>
      </c>
      <c r="AF19">
        <v>17588</v>
      </c>
      <c r="AG19">
        <v>1</v>
      </c>
      <c r="AH19">
        <v>11</v>
      </c>
      <c r="AI19">
        <v>3</v>
      </c>
      <c r="AJ19">
        <v>2</v>
      </c>
      <c r="AK19">
        <v>80</v>
      </c>
      <c r="AL19">
        <v>1</v>
      </c>
      <c r="AM19">
        <v>33</v>
      </c>
      <c r="AN19">
        <v>3</v>
      </c>
      <c r="AO19">
        <v>33</v>
      </c>
      <c r="AP19">
        <v>9</v>
      </c>
      <c r="AQ19">
        <v>0</v>
      </c>
      <c r="AR19">
        <v>10</v>
      </c>
    </row>
    <row r="20" spans="1:44" x14ac:dyDescent="0.25">
      <c r="A20" t="s">
        <v>43</v>
      </c>
      <c r="B20" t="s">
        <v>90</v>
      </c>
      <c r="C20" t="s">
        <v>36</v>
      </c>
      <c r="D20" t="s">
        <v>91</v>
      </c>
      <c r="E20" t="s">
        <v>31</v>
      </c>
      <c r="F20" t="s">
        <v>21</v>
      </c>
      <c r="G20" t="s">
        <v>114</v>
      </c>
      <c r="H20">
        <v>1408</v>
      </c>
      <c r="I20" t="s">
        <v>12</v>
      </c>
      <c r="J20" t="s">
        <v>23</v>
      </c>
      <c r="K20" t="s">
        <v>41</v>
      </c>
      <c r="L20" t="s">
        <v>43</v>
      </c>
      <c r="M20" t="s">
        <v>94</v>
      </c>
      <c r="N20">
        <v>5</v>
      </c>
      <c r="O20">
        <v>-2</v>
      </c>
      <c r="P20">
        <v>0</v>
      </c>
      <c r="Q20">
        <v>42</v>
      </c>
      <c r="R20">
        <v>0</v>
      </c>
      <c r="T20">
        <v>0</v>
      </c>
      <c r="U20">
        <v>1</v>
      </c>
      <c r="V20">
        <v>1147</v>
      </c>
      <c r="W20">
        <v>10</v>
      </c>
      <c r="X20" t="s">
        <v>16</v>
      </c>
      <c r="Y20">
        <v>1</v>
      </c>
      <c r="Z20">
        <v>3</v>
      </c>
      <c r="AA20">
        <v>31</v>
      </c>
      <c r="AB20">
        <v>3</v>
      </c>
      <c r="AC20">
        <v>4</v>
      </c>
      <c r="AD20">
        <v>3</v>
      </c>
      <c r="AE20">
        <v>16799</v>
      </c>
      <c r="AF20">
        <v>16616</v>
      </c>
      <c r="AG20">
        <v>0</v>
      </c>
      <c r="AH20">
        <v>14</v>
      </c>
      <c r="AI20">
        <v>3</v>
      </c>
      <c r="AJ20">
        <v>3</v>
      </c>
      <c r="AK20">
        <v>80</v>
      </c>
      <c r="AL20">
        <v>1</v>
      </c>
      <c r="AM20">
        <v>21</v>
      </c>
      <c r="AN20">
        <v>3</v>
      </c>
      <c r="AO20">
        <v>20</v>
      </c>
      <c r="AP20">
        <v>7</v>
      </c>
      <c r="AQ20">
        <v>0</v>
      </c>
      <c r="AR20">
        <v>9</v>
      </c>
    </row>
    <row r="21" spans="1:44" x14ac:dyDescent="0.25">
      <c r="A21" t="s">
        <v>43</v>
      </c>
      <c r="B21" t="s">
        <v>90</v>
      </c>
      <c r="C21" t="s">
        <v>37</v>
      </c>
      <c r="D21" t="s">
        <v>91</v>
      </c>
      <c r="E21" t="s">
        <v>33</v>
      </c>
      <c r="F21" t="s">
        <v>92</v>
      </c>
      <c r="G21" t="s">
        <v>115</v>
      </c>
      <c r="H21">
        <v>1602</v>
      </c>
      <c r="I21" t="s">
        <v>13</v>
      </c>
      <c r="J21" t="s">
        <v>23</v>
      </c>
      <c r="K21" t="s">
        <v>42</v>
      </c>
      <c r="L21" t="s">
        <v>43</v>
      </c>
      <c r="M21" t="s">
        <v>94</v>
      </c>
      <c r="N21">
        <v>5</v>
      </c>
      <c r="O21">
        <v>-2</v>
      </c>
      <c r="P21">
        <v>0</v>
      </c>
      <c r="Q21">
        <v>46</v>
      </c>
      <c r="R21">
        <v>0</v>
      </c>
      <c r="T21">
        <v>0</v>
      </c>
      <c r="U21">
        <v>1</v>
      </c>
      <c r="V21">
        <v>563</v>
      </c>
      <c r="W21">
        <v>1</v>
      </c>
      <c r="X21" t="s">
        <v>19</v>
      </c>
      <c r="Y21">
        <v>1</v>
      </c>
      <c r="Z21">
        <v>4</v>
      </c>
      <c r="AA21">
        <v>56</v>
      </c>
      <c r="AB21">
        <v>4</v>
      </c>
      <c r="AC21">
        <v>4</v>
      </c>
      <c r="AD21">
        <v>1</v>
      </c>
      <c r="AE21">
        <v>17567</v>
      </c>
      <c r="AF21">
        <v>3156</v>
      </c>
      <c r="AG21">
        <v>1</v>
      </c>
      <c r="AH21">
        <v>15</v>
      </c>
      <c r="AI21">
        <v>3</v>
      </c>
      <c r="AJ21">
        <v>2</v>
      </c>
      <c r="AK21">
        <v>80</v>
      </c>
      <c r="AL21">
        <v>0</v>
      </c>
      <c r="AM21">
        <v>27</v>
      </c>
      <c r="AN21">
        <v>1</v>
      </c>
      <c r="AO21">
        <v>26</v>
      </c>
      <c r="AP21">
        <v>0</v>
      </c>
      <c r="AQ21">
        <v>0</v>
      </c>
      <c r="AR21">
        <v>12</v>
      </c>
    </row>
    <row r="22" spans="1:44" x14ac:dyDescent="0.25">
      <c r="A22" t="s">
        <v>43</v>
      </c>
      <c r="B22" t="s">
        <v>90</v>
      </c>
      <c r="C22" t="s">
        <v>38</v>
      </c>
      <c r="D22" t="s">
        <v>91</v>
      </c>
      <c r="E22" t="s">
        <v>32</v>
      </c>
      <c r="F22" t="s">
        <v>95</v>
      </c>
      <c r="G22" t="s">
        <v>116</v>
      </c>
      <c r="H22">
        <v>84</v>
      </c>
      <c r="I22" t="s">
        <v>12</v>
      </c>
      <c r="J22" t="s">
        <v>23</v>
      </c>
      <c r="K22" t="s">
        <v>40</v>
      </c>
      <c r="L22" t="s">
        <v>44</v>
      </c>
      <c r="M22" t="s">
        <v>94</v>
      </c>
      <c r="N22">
        <v>2</v>
      </c>
      <c r="O22">
        <v>-2</v>
      </c>
      <c r="P22">
        <v>0</v>
      </c>
      <c r="Q22">
        <v>55</v>
      </c>
      <c r="R22">
        <v>0</v>
      </c>
      <c r="T22">
        <v>0</v>
      </c>
      <c r="U22">
        <v>1</v>
      </c>
      <c r="V22">
        <v>836</v>
      </c>
      <c r="W22">
        <v>8</v>
      </c>
      <c r="X22" t="s">
        <v>16</v>
      </c>
      <c r="Y22">
        <v>1</v>
      </c>
      <c r="Z22">
        <v>4</v>
      </c>
      <c r="AA22">
        <v>33</v>
      </c>
      <c r="AB22">
        <v>3</v>
      </c>
      <c r="AC22">
        <v>4</v>
      </c>
      <c r="AD22">
        <v>3</v>
      </c>
      <c r="AE22">
        <v>14756</v>
      </c>
      <c r="AF22">
        <v>19730</v>
      </c>
      <c r="AG22">
        <v>2</v>
      </c>
      <c r="AH22">
        <v>14</v>
      </c>
      <c r="AI22">
        <v>3</v>
      </c>
      <c r="AJ22">
        <v>3</v>
      </c>
      <c r="AK22">
        <v>80</v>
      </c>
      <c r="AL22">
        <v>3</v>
      </c>
      <c r="AM22">
        <v>21</v>
      </c>
      <c r="AN22">
        <v>3</v>
      </c>
      <c r="AO22">
        <v>5</v>
      </c>
      <c r="AP22">
        <v>0</v>
      </c>
      <c r="AQ22">
        <v>0</v>
      </c>
      <c r="AR22">
        <v>2</v>
      </c>
    </row>
    <row r="23" spans="1:44" x14ac:dyDescent="0.25">
      <c r="A23" t="s">
        <v>43</v>
      </c>
      <c r="B23" t="s">
        <v>90</v>
      </c>
      <c r="C23" t="s">
        <v>37</v>
      </c>
      <c r="D23" t="s">
        <v>91</v>
      </c>
      <c r="E23" t="s">
        <v>32</v>
      </c>
      <c r="F23" t="s">
        <v>92</v>
      </c>
      <c r="G23" t="s">
        <v>117</v>
      </c>
      <c r="H23">
        <v>664</v>
      </c>
      <c r="I23" t="s">
        <v>12</v>
      </c>
      <c r="J23" t="s">
        <v>23</v>
      </c>
      <c r="K23" t="s">
        <v>41</v>
      </c>
      <c r="L23" t="s">
        <v>43</v>
      </c>
      <c r="M23" t="s">
        <v>94</v>
      </c>
      <c r="N23">
        <v>3</v>
      </c>
      <c r="O23">
        <v>-2</v>
      </c>
      <c r="P23">
        <v>0</v>
      </c>
      <c r="Q23">
        <v>48</v>
      </c>
      <c r="R23">
        <v>0</v>
      </c>
      <c r="T23">
        <v>0</v>
      </c>
      <c r="U23">
        <v>1</v>
      </c>
      <c r="V23">
        <v>1236</v>
      </c>
      <c r="W23">
        <v>1</v>
      </c>
      <c r="X23" t="s">
        <v>19</v>
      </c>
      <c r="Y23">
        <v>1</v>
      </c>
      <c r="Z23">
        <v>4</v>
      </c>
      <c r="AA23">
        <v>40</v>
      </c>
      <c r="AB23">
        <v>2</v>
      </c>
      <c r="AC23">
        <v>4</v>
      </c>
      <c r="AD23">
        <v>2</v>
      </c>
      <c r="AE23">
        <v>15402</v>
      </c>
      <c r="AF23">
        <v>17997</v>
      </c>
      <c r="AG23">
        <v>7</v>
      </c>
      <c r="AH23">
        <v>11</v>
      </c>
      <c r="AI23">
        <v>3</v>
      </c>
      <c r="AJ23">
        <v>1</v>
      </c>
      <c r="AK23">
        <v>80</v>
      </c>
      <c r="AL23">
        <v>1</v>
      </c>
      <c r="AM23">
        <v>21</v>
      </c>
      <c r="AN23">
        <v>1</v>
      </c>
      <c r="AO23">
        <v>3</v>
      </c>
      <c r="AP23">
        <v>2</v>
      </c>
      <c r="AQ23">
        <v>0</v>
      </c>
      <c r="AR23">
        <v>2</v>
      </c>
    </row>
    <row r="24" spans="1:44" x14ac:dyDescent="0.25">
      <c r="A24" t="s">
        <v>43</v>
      </c>
      <c r="B24" t="s">
        <v>90</v>
      </c>
      <c r="C24" t="s">
        <v>36</v>
      </c>
      <c r="D24" t="s">
        <v>91</v>
      </c>
      <c r="E24" t="s">
        <v>32</v>
      </c>
      <c r="F24" t="s">
        <v>118</v>
      </c>
      <c r="G24" t="s">
        <v>119</v>
      </c>
      <c r="H24">
        <v>671</v>
      </c>
      <c r="I24" t="s">
        <v>13</v>
      </c>
      <c r="J24" t="s">
        <v>23</v>
      </c>
      <c r="K24" t="s">
        <v>41</v>
      </c>
      <c r="L24" t="s">
        <v>44</v>
      </c>
      <c r="M24" t="s">
        <v>94</v>
      </c>
      <c r="N24">
        <v>2</v>
      </c>
      <c r="O24">
        <v>-2</v>
      </c>
      <c r="P24">
        <v>0</v>
      </c>
      <c r="Q24">
        <v>44</v>
      </c>
      <c r="R24">
        <v>0</v>
      </c>
      <c r="T24">
        <v>0</v>
      </c>
      <c r="U24">
        <v>1</v>
      </c>
      <c r="V24">
        <v>1315</v>
      </c>
      <c r="W24">
        <v>3</v>
      </c>
      <c r="X24" t="s">
        <v>19</v>
      </c>
      <c r="Y24">
        <v>1</v>
      </c>
      <c r="Z24">
        <v>4</v>
      </c>
      <c r="AA24">
        <v>35</v>
      </c>
      <c r="AB24">
        <v>3</v>
      </c>
      <c r="AC24">
        <v>5</v>
      </c>
      <c r="AD24">
        <v>4</v>
      </c>
      <c r="AE24">
        <v>19513</v>
      </c>
      <c r="AF24">
        <v>9358</v>
      </c>
      <c r="AG24">
        <v>4</v>
      </c>
      <c r="AH24">
        <v>12</v>
      </c>
      <c r="AI24">
        <v>3</v>
      </c>
      <c r="AJ24">
        <v>1</v>
      </c>
      <c r="AK24">
        <v>80</v>
      </c>
      <c r="AL24">
        <v>1</v>
      </c>
      <c r="AM24">
        <v>26</v>
      </c>
      <c r="AN24">
        <v>4</v>
      </c>
      <c r="AO24">
        <v>2</v>
      </c>
      <c r="AP24">
        <v>2</v>
      </c>
      <c r="AQ24">
        <v>0</v>
      </c>
      <c r="AR24">
        <v>1</v>
      </c>
    </row>
    <row r="25" spans="1:44" x14ac:dyDescent="0.25">
      <c r="A25" t="s">
        <v>43</v>
      </c>
      <c r="B25" t="s">
        <v>90</v>
      </c>
      <c r="C25" t="s">
        <v>35</v>
      </c>
      <c r="D25" t="s">
        <v>91</v>
      </c>
      <c r="E25" t="s">
        <v>32</v>
      </c>
      <c r="F25" t="s">
        <v>95</v>
      </c>
      <c r="G25" t="s">
        <v>120</v>
      </c>
      <c r="H25">
        <v>1321</v>
      </c>
      <c r="I25" t="s">
        <v>12</v>
      </c>
      <c r="J25" t="s">
        <v>23</v>
      </c>
      <c r="K25" t="s">
        <v>41</v>
      </c>
      <c r="L25" t="s">
        <v>44</v>
      </c>
      <c r="M25" t="s">
        <v>94</v>
      </c>
      <c r="N25">
        <v>2</v>
      </c>
      <c r="O25">
        <v>-2</v>
      </c>
      <c r="P25">
        <v>0</v>
      </c>
      <c r="Q25">
        <v>30</v>
      </c>
      <c r="R25">
        <v>0</v>
      </c>
      <c r="T25">
        <v>0</v>
      </c>
      <c r="U25">
        <v>1</v>
      </c>
      <c r="V25">
        <v>634</v>
      </c>
      <c r="W25">
        <v>17</v>
      </c>
      <c r="X25" t="s">
        <v>19</v>
      </c>
      <c r="Y25">
        <v>1</v>
      </c>
      <c r="Z25">
        <v>2</v>
      </c>
      <c r="AA25">
        <v>95</v>
      </c>
      <c r="AB25">
        <v>3</v>
      </c>
      <c r="AC25">
        <v>3</v>
      </c>
      <c r="AD25">
        <v>3</v>
      </c>
      <c r="AE25">
        <v>11916</v>
      </c>
      <c r="AF25">
        <v>25927</v>
      </c>
      <c r="AG25">
        <v>1</v>
      </c>
      <c r="AH25">
        <v>23</v>
      </c>
      <c r="AI25">
        <v>4</v>
      </c>
      <c r="AJ25">
        <v>4</v>
      </c>
      <c r="AK25">
        <v>80</v>
      </c>
      <c r="AL25">
        <v>2</v>
      </c>
      <c r="AM25">
        <v>9</v>
      </c>
      <c r="AN25">
        <v>3</v>
      </c>
      <c r="AO25">
        <v>9</v>
      </c>
      <c r="AP25">
        <v>1</v>
      </c>
      <c r="AQ25">
        <v>0</v>
      </c>
      <c r="AR25">
        <v>8</v>
      </c>
    </row>
    <row r="26" spans="1:44" x14ac:dyDescent="0.25">
      <c r="A26" t="s">
        <v>43</v>
      </c>
      <c r="B26" t="s">
        <v>90</v>
      </c>
      <c r="C26" t="s">
        <v>36</v>
      </c>
      <c r="D26" t="s">
        <v>91</v>
      </c>
      <c r="E26" t="s">
        <v>32</v>
      </c>
      <c r="F26" t="s">
        <v>118</v>
      </c>
      <c r="G26" t="s">
        <v>121</v>
      </c>
      <c r="H26">
        <v>1595</v>
      </c>
      <c r="I26" t="s">
        <v>13</v>
      </c>
      <c r="J26" t="s">
        <v>23</v>
      </c>
      <c r="K26" t="s">
        <v>42</v>
      </c>
      <c r="L26" t="s">
        <v>43</v>
      </c>
      <c r="M26" t="s">
        <v>94</v>
      </c>
      <c r="N26">
        <v>2</v>
      </c>
      <c r="O26">
        <v>-2</v>
      </c>
      <c r="P26">
        <v>0</v>
      </c>
      <c r="Q26">
        <v>42</v>
      </c>
      <c r="R26">
        <v>0</v>
      </c>
      <c r="T26">
        <v>0</v>
      </c>
      <c r="U26">
        <v>1</v>
      </c>
      <c r="V26">
        <v>1059</v>
      </c>
      <c r="W26">
        <v>9</v>
      </c>
      <c r="X26" t="s">
        <v>15</v>
      </c>
      <c r="Y26">
        <v>1</v>
      </c>
      <c r="Z26">
        <v>4</v>
      </c>
      <c r="AA26">
        <v>93</v>
      </c>
      <c r="AB26">
        <v>2</v>
      </c>
      <c r="AC26">
        <v>5</v>
      </c>
      <c r="AD26">
        <v>4</v>
      </c>
      <c r="AE26">
        <v>19613</v>
      </c>
      <c r="AF26">
        <v>26362</v>
      </c>
      <c r="AG26">
        <v>8</v>
      </c>
      <c r="AH26">
        <v>22</v>
      </c>
      <c r="AI26">
        <v>4</v>
      </c>
      <c r="AJ26">
        <v>4</v>
      </c>
      <c r="AK26">
        <v>80</v>
      </c>
      <c r="AL26">
        <v>0</v>
      </c>
      <c r="AM26">
        <v>24</v>
      </c>
      <c r="AN26">
        <v>3</v>
      </c>
      <c r="AO26">
        <v>1</v>
      </c>
      <c r="AP26">
        <v>0</v>
      </c>
      <c r="AQ26">
        <v>0</v>
      </c>
      <c r="AR26">
        <v>1</v>
      </c>
    </row>
    <row r="27" spans="1:44" x14ac:dyDescent="0.25">
      <c r="A27" t="s">
        <v>43</v>
      </c>
      <c r="B27" t="s">
        <v>90</v>
      </c>
      <c r="C27" t="s">
        <v>36</v>
      </c>
      <c r="D27" t="s">
        <v>91</v>
      </c>
      <c r="E27" t="s">
        <v>33</v>
      </c>
      <c r="F27" t="s">
        <v>97</v>
      </c>
      <c r="G27" t="s">
        <v>122</v>
      </c>
      <c r="H27">
        <v>327</v>
      </c>
      <c r="I27" t="s">
        <v>12</v>
      </c>
      <c r="J27" t="s">
        <v>23</v>
      </c>
      <c r="K27" t="s">
        <v>41</v>
      </c>
      <c r="L27" t="s">
        <v>44</v>
      </c>
      <c r="M27" t="s">
        <v>94</v>
      </c>
      <c r="N27">
        <v>3</v>
      </c>
      <c r="O27">
        <v>-2</v>
      </c>
      <c r="P27">
        <v>0</v>
      </c>
      <c r="Q27">
        <v>43</v>
      </c>
      <c r="R27">
        <v>0</v>
      </c>
      <c r="T27">
        <v>0</v>
      </c>
      <c r="U27">
        <v>1</v>
      </c>
      <c r="V27">
        <v>1034</v>
      </c>
      <c r="W27">
        <v>16</v>
      </c>
      <c r="X27" t="s">
        <v>16</v>
      </c>
      <c r="Y27">
        <v>1</v>
      </c>
      <c r="Z27">
        <v>4</v>
      </c>
      <c r="AA27">
        <v>80</v>
      </c>
      <c r="AB27">
        <v>3</v>
      </c>
      <c r="AC27">
        <v>4</v>
      </c>
      <c r="AD27">
        <v>1</v>
      </c>
      <c r="AE27">
        <v>16064</v>
      </c>
      <c r="AF27">
        <v>7744</v>
      </c>
      <c r="AG27">
        <v>5</v>
      </c>
      <c r="AH27">
        <v>22</v>
      </c>
      <c r="AI27">
        <v>4</v>
      </c>
      <c r="AJ27">
        <v>3</v>
      </c>
      <c r="AK27">
        <v>80</v>
      </c>
      <c r="AL27">
        <v>1</v>
      </c>
      <c r="AM27">
        <v>22</v>
      </c>
      <c r="AN27">
        <v>3</v>
      </c>
      <c r="AO27">
        <v>17</v>
      </c>
      <c r="AP27">
        <v>13</v>
      </c>
      <c r="AQ27">
        <v>1</v>
      </c>
      <c r="AR27">
        <v>9</v>
      </c>
    </row>
    <row r="28" spans="1:44" x14ac:dyDescent="0.25">
      <c r="A28" t="s">
        <v>43</v>
      </c>
      <c r="B28" t="s">
        <v>90</v>
      </c>
      <c r="C28" t="s">
        <v>37</v>
      </c>
      <c r="D28" t="s">
        <v>91</v>
      </c>
      <c r="E28" t="s">
        <v>32</v>
      </c>
      <c r="F28" t="s">
        <v>118</v>
      </c>
      <c r="G28" t="s">
        <v>123</v>
      </c>
      <c r="H28">
        <v>336</v>
      </c>
      <c r="I28" t="s">
        <v>13</v>
      </c>
      <c r="J28" t="s">
        <v>23</v>
      </c>
      <c r="K28" t="s">
        <v>41</v>
      </c>
      <c r="L28" t="s">
        <v>43</v>
      </c>
      <c r="M28" t="s">
        <v>94</v>
      </c>
      <c r="N28">
        <v>2</v>
      </c>
      <c r="O28">
        <v>-2</v>
      </c>
      <c r="P28">
        <v>0</v>
      </c>
      <c r="Q28">
        <v>45</v>
      </c>
      <c r="R28">
        <v>0</v>
      </c>
      <c r="T28">
        <v>0</v>
      </c>
      <c r="U28">
        <v>1</v>
      </c>
      <c r="V28">
        <v>252</v>
      </c>
      <c r="W28">
        <v>1</v>
      </c>
      <c r="X28" t="s">
        <v>16</v>
      </c>
      <c r="Y28">
        <v>1</v>
      </c>
      <c r="Z28">
        <v>3</v>
      </c>
      <c r="AA28">
        <v>70</v>
      </c>
      <c r="AB28">
        <v>4</v>
      </c>
      <c r="AC28">
        <v>5</v>
      </c>
      <c r="AD28">
        <v>4</v>
      </c>
      <c r="AE28">
        <v>19202</v>
      </c>
      <c r="AF28">
        <v>15970</v>
      </c>
      <c r="AG28">
        <v>0</v>
      </c>
      <c r="AH28">
        <v>11</v>
      </c>
      <c r="AI28">
        <v>3</v>
      </c>
      <c r="AJ28">
        <v>3</v>
      </c>
      <c r="AK28">
        <v>80</v>
      </c>
      <c r="AL28">
        <v>1</v>
      </c>
      <c r="AM28">
        <v>25</v>
      </c>
      <c r="AN28">
        <v>3</v>
      </c>
      <c r="AO28">
        <v>24</v>
      </c>
      <c r="AP28">
        <v>0</v>
      </c>
      <c r="AQ28">
        <v>1</v>
      </c>
      <c r="AR28">
        <v>7</v>
      </c>
    </row>
    <row r="29" spans="1:44" x14ac:dyDescent="0.25">
      <c r="A29" t="s">
        <v>43</v>
      </c>
      <c r="B29" t="s">
        <v>90</v>
      </c>
      <c r="C29" t="s">
        <v>37</v>
      </c>
      <c r="D29" t="s">
        <v>91</v>
      </c>
      <c r="E29" t="s">
        <v>32</v>
      </c>
      <c r="F29" t="s">
        <v>92</v>
      </c>
      <c r="G29" t="s">
        <v>124</v>
      </c>
      <c r="H29">
        <v>546</v>
      </c>
      <c r="I29" t="s">
        <v>12</v>
      </c>
      <c r="J29" t="s">
        <v>23</v>
      </c>
      <c r="K29" t="s">
        <v>41</v>
      </c>
      <c r="L29" t="s">
        <v>43</v>
      </c>
      <c r="M29" t="s">
        <v>94</v>
      </c>
      <c r="N29">
        <v>2</v>
      </c>
      <c r="O29">
        <v>-2</v>
      </c>
      <c r="P29">
        <v>0</v>
      </c>
      <c r="Q29">
        <v>52</v>
      </c>
      <c r="R29">
        <v>0</v>
      </c>
      <c r="T29">
        <v>0</v>
      </c>
      <c r="U29">
        <v>1</v>
      </c>
      <c r="V29">
        <v>1490</v>
      </c>
      <c r="W29">
        <v>4</v>
      </c>
      <c r="X29" t="s">
        <v>15</v>
      </c>
      <c r="Y29">
        <v>1</v>
      </c>
      <c r="Z29">
        <v>4</v>
      </c>
      <c r="AA29">
        <v>30</v>
      </c>
      <c r="AB29">
        <v>3</v>
      </c>
      <c r="AC29">
        <v>4</v>
      </c>
      <c r="AD29">
        <v>2</v>
      </c>
      <c r="AE29">
        <v>16555</v>
      </c>
      <c r="AF29">
        <v>10310</v>
      </c>
      <c r="AG29">
        <v>2</v>
      </c>
      <c r="AH29">
        <v>13</v>
      </c>
      <c r="AI29">
        <v>3</v>
      </c>
      <c r="AJ29">
        <v>4</v>
      </c>
      <c r="AK29">
        <v>80</v>
      </c>
      <c r="AL29">
        <v>0</v>
      </c>
      <c r="AM29">
        <v>31</v>
      </c>
      <c r="AN29">
        <v>1</v>
      </c>
      <c r="AO29">
        <v>5</v>
      </c>
      <c r="AP29">
        <v>2</v>
      </c>
      <c r="AQ29">
        <v>1</v>
      </c>
      <c r="AR29">
        <v>4</v>
      </c>
    </row>
    <row r="30" spans="1:44" x14ac:dyDescent="0.25">
      <c r="A30" t="s">
        <v>43</v>
      </c>
      <c r="B30" t="s">
        <v>90</v>
      </c>
      <c r="C30" t="s">
        <v>36</v>
      </c>
      <c r="D30" t="s">
        <v>91</v>
      </c>
      <c r="E30" t="s">
        <v>33</v>
      </c>
      <c r="F30" t="s">
        <v>92</v>
      </c>
      <c r="G30" t="s">
        <v>125</v>
      </c>
      <c r="H30">
        <v>558</v>
      </c>
      <c r="I30" t="s">
        <v>12</v>
      </c>
      <c r="J30" t="s">
        <v>23</v>
      </c>
      <c r="K30" t="s">
        <v>41</v>
      </c>
      <c r="L30" t="s">
        <v>43</v>
      </c>
      <c r="M30" t="s">
        <v>94</v>
      </c>
      <c r="N30">
        <v>2</v>
      </c>
      <c r="O30">
        <v>-2</v>
      </c>
      <c r="P30">
        <v>0</v>
      </c>
      <c r="Q30">
        <v>40</v>
      </c>
      <c r="R30">
        <v>0</v>
      </c>
      <c r="T30">
        <v>0</v>
      </c>
      <c r="U30">
        <v>1</v>
      </c>
      <c r="V30">
        <v>1398</v>
      </c>
      <c r="W30">
        <v>2</v>
      </c>
      <c r="X30" t="s">
        <v>19</v>
      </c>
      <c r="Y30">
        <v>1</v>
      </c>
      <c r="Z30">
        <v>3</v>
      </c>
      <c r="AA30">
        <v>79</v>
      </c>
      <c r="AB30">
        <v>3</v>
      </c>
      <c r="AC30">
        <v>5</v>
      </c>
      <c r="AD30">
        <v>2</v>
      </c>
      <c r="AE30">
        <v>18041</v>
      </c>
      <c r="AF30">
        <v>13022</v>
      </c>
      <c r="AG30">
        <v>0</v>
      </c>
      <c r="AH30">
        <v>14</v>
      </c>
      <c r="AI30">
        <v>3</v>
      </c>
      <c r="AJ30">
        <v>4</v>
      </c>
      <c r="AK30">
        <v>80</v>
      </c>
      <c r="AL30">
        <v>0</v>
      </c>
      <c r="AM30">
        <v>21</v>
      </c>
      <c r="AN30">
        <v>3</v>
      </c>
      <c r="AO30">
        <v>20</v>
      </c>
      <c r="AP30">
        <v>15</v>
      </c>
      <c r="AQ30">
        <v>1</v>
      </c>
      <c r="AR30">
        <v>12</v>
      </c>
    </row>
    <row r="31" spans="1:44" x14ac:dyDescent="0.25">
      <c r="A31" t="s">
        <v>43</v>
      </c>
      <c r="B31" t="s">
        <v>90</v>
      </c>
      <c r="C31" t="s">
        <v>37</v>
      </c>
      <c r="D31" t="s">
        <v>91</v>
      </c>
      <c r="E31" t="s">
        <v>33</v>
      </c>
      <c r="F31" t="s">
        <v>97</v>
      </c>
      <c r="G31" t="s">
        <v>126</v>
      </c>
      <c r="H31">
        <v>776</v>
      </c>
      <c r="I31" t="s">
        <v>13</v>
      </c>
      <c r="J31" t="s">
        <v>23</v>
      </c>
      <c r="K31" t="s">
        <v>41</v>
      </c>
      <c r="L31" t="s">
        <v>43</v>
      </c>
      <c r="M31" t="s">
        <v>94</v>
      </c>
      <c r="N31">
        <v>3</v>
      </c>
      <c r="O31">
        <v>-2</v>
      </c>
      <c r="P31">
        <v>0</v>
      </c>
      <c r="Q31">
        <v>52</v>
      </c>
      <c r="R31">
        <v>0</v>
      </c>
      <c r="T31">
        <v>0</v>
      </c>
      <c r="U31">
        <v>1</v>
      </c>
      <c r="V31">
        <v>621</v>
      </c>
      <c r="W31">
        <v>3</v>
      </c>
      <c r="X31" t="s">
        <v>19</v>
      </c>
      <c r="Y31">
        <v>1</v>
      </c>
      <c r="Z31">
        <v>3</v>
      </c>
      <c r="AA31">
        <v>31</v>
      </c>
      <c r="AB31">
        <v>2</v>
      </c>
      <c r="AC31">
        <v>4</v>
      </c>
      <c r="AD31">
        <v>2</v>
      </c>
      <c r="AE31">
        <v>16856</v>
      </c>
      <c r="AF31">
        <v>10084</v>
      </c>
      <c r="AG31">
        <v>1</v>
      </c>
      <c r="AH31">
        <v>11</v>
      </c>
      <c r="AI31">
        <v>3</v>
      </c>
      <c r="AJ31">
        <v>1</v>
      </c>
      <c r="AK31">
        <v>80</v>
      </c>
      <c r="AL31">
        <v>0</v>
      </c>
      <c r="AM31">
        <v>34</v>
      </c>
      <c r="AN31">
        <v>4</v>
      </c>
      <c r="AO31">
        <v>34</v>
      </c>
      <c r="AP31">
        <v>6</v>
      </c>
      <c r="AQ31">
        <v>1</v>
      </c>
      <c r="AR31">
        <v>16</v>
      </c>
    </row>
    <row r="32" spans="1:44" x14ac:dyDescent="0.25">
      <c r="A32" t="s">
        <v>43</v>
      </c>
      <c r="B32" t="s">
        <v>90</v>
      </c>
      <c r="C32" t="s">
        <v>37</v>
      </c>
      <c r="D32" t="s">
        <v>91</v>
      </c>
      <c r="E32" t="s">
        <v>33</v>
      </c>
      <c r="F32" t="s">
        <v>92</v>
      </c>
      <c r="G32" t="s">
        <v>127</v>
      </c>
      <c r="H32">
        <v>1045</v>
      </c>
      <c r="I32" t="s">
        <v>12</v>
      </c>
      <c r="J32" t="s">
        <v>23</v>
      </c>
      <c r="K32" t="s">
        <v>41</v>
      </c>
      <c r="L32" t="s">
        <v>43</v>
      </c>
      <c r="M32" t="s">
        <v>94</v>
      </c>
      <c r="N32">
        <v>4</v>
      </c>
      <c r="O32">
        <v>-2</v>
      </c>
      <c r="P32">
        <v>0</v>
      </c>
      <c r="Q32">
        <v>45</v>
      </c>
      <c r="R32">
        <v>0</v>
      </c>
      <c r="T32">
        <v>0</v>
      </c>
      <c r="U32">
        <v>1</v>
      </c>
      <c r="V32">
        <v>1234</v>
      </c>
      <c r="W32">
        <v>11</v>
      </c>
      <c r="X32" t="s">
        <v>15</v>
      </c>
      <c r="Y32">
        <v>1</v>
      </c>
      <c r="Z32">
        <v>4</v>
      </c>
      <c r="AA32">
        <v>90</v>
      </c>
      <c r="AB32">
        <v>3</v>
      </c>
      <c r="AC32">
        <v>4</v>
      </c>
      <c r="AD32">
        <v>1</v>
      </c>
      <c r="AE32">
        <v>17650</v>
      </c>
      <c r="AF32">
        <v>5404</v>
      </c>
      <c r="AG32">
        <v>3</v>
      </c>
      <c r="AH32">
        <v>13</v>
      </c>
      <c r="AI32">
        <v>3</v>
      </c>
      <c r="AJ32">
        <v>2</v>
      </c>
      <c r="AK32">
        <v>80</v>
      </c>
      <c r="AL32">
        <v>1</v>
      </c>
      <c r="AM32">
        <v>26</v>
      </c>
      <c r="AN32">
        <v>4</v>
      </c>
      <c r="AO32">
        <v>9</v>
      </c>
      <c r="AP32">
        <v>3</v>
      </c>
      <c r="AQ32">
        <v>1</v>
      </c>
      <c r="AR32">
        <v>1</v>
      </c>
    </row>
    <row r="33" spans="1:44" x14ac:dyDescent="0.25">
      <c r="A33" t="s">
        <v>43</v>
      </c>
      <c r="B33" t="s">
        <v>90</v>
      </c>
      <c r="C33" t="s">
        <v>37</v>
      </c>
      <c r="D33" t="s">
        <v>91</v>
      </c>
      <c r="E33" t="s">
        <v>31</v>
      </c>
      <c r="F33" t="s">
        <v>92</v>
      </c>
      <c r="G33" t="s">
        <v>128</v>
      </c>
      <c r="H33">
        <v>1625</v>
      </c>
      <c r="I33" t="s">
        <v>12</v>
      </c>
      <c r="J33" t="s">
        <v>23</v>
      </c>
      <c r="K33" t="s">
        <v>41</v>
      </c>
      <c r="L33" t="s">
        <v>43</v>
      </c>
      <c r="M33" t="s">
        <v>94</v>
      </c>
      <c r="N33">
        <v>2</v>
      </c>
      <c r="O33">
        <v>-2</v>
      </c>
      <c r="P33">
        <v>0</v>
      </c>
      <c r="Q33">
        <v>47</v>
      </c>
      <c r="R33">
        <v>0</v>
      </c>
      <c r="T33">
        <v>0</v>
      </c>
      <c r="U33">
        <v>1</v>
      </c>
      <c r="V33">
        <v>1176</v>
      </c>
      <c r="W33">
        <v>26</v>
      </c>
      <c r="X33" t="s">
        <v>19</v>
      </c>
      <c r="Y33">
        <v>1</v>
      </c>
      <c r="Z33">
        <v>4</v>
      </c>
      <c r="AA33">
        <v>98</v>
      </c>
      <c r="AB33">
        <v>3</v>
      </c>
      <c r="AC33">
        <v>5</v>
      </c>
      <c r="AD33">
        <v>3</v>
      </c>
      <c r="AE33">
        <v>19658</v>
      </c>
      <c r="AF33">
        <v>5220</v>
      </c>
      <c r="AG33">
        <v>3</v>
      </c>
      <c r="AH33">
        <v>11</v>
      </c>
      <c r="AI33">
        <v>3</v>
      </c>
      <c r="AJ33">
        <v>3</v>
      </c>
      <c r="AK33">
        <v>80</v>
      </c>
      <c r="AL33">
        <v>1</v>
      </c>
      <c r="AM33">
        <v>27</v>
      </c>
      <c r="AN33">
        <v>3</v>
      </c>
      <c r="AO33">
        <v>5</v>
      </c>
      <c r="AP33">
        <v>2</v>
      </c>
      <c r="AQ33">
        <v>1</v>
      </c>
      <c r="AR33">
        <v>0</v>
      </c>
    </row>
    <row r="34" spans="1:44" x14ac:dyDescent="0.25">
      <c r="A34" t="s">
        <v>43</v>
      </c>
      <c r="B34" t="s">
        <v>90</v>
      </c>
      <c r="C34" t="s">
        <v>38</v>
      </c>
      <c r="D34" t="s">
        <v>91</v>
      </c>
      <c r="E34" t="s">
        <v>31</v>
      </c>
      <c r="F34" t="s">
        <v>21</v>
      </c>
      <c r="G34" t="s">
        <v>129</v>
      </c>
      <c r="H34">
        <v>1973</v>
      </c>
      <c r="I34" t="s">
        <v>13</v>
      </c>
      <c r="J34" t="s">
        <v>23</v>
      </c>
      <c r="K34" t="s">
        <v>41</v>
      </c>
      <c r="L34" t="s">
        <v>44</v>
      </c>
      <c r="M34" t="s">
        <v>94</v>
      </c>
      <c r="N34">
        <v>0</v>
      </c>
      <c r="O34">
        <v>-2</v>
      </c>
      <c r="P34">
        <v>0</v>
      </c>
      <c r="Q34">
        <v>55</v>
      </c>
      <c r="R34">
        <v>0</v>
      </c>
      <c r="T34">
        <v>0</v>
      </c>
      <c r="U34">
        <v>1</v>
      </c>
      <c r="V34">
        <v>189</v>
      </c>
      <c r="W34">
        <v>26</v>
      </c>
      <c r="X34" t="s">
        <v>19</v>
      </c>
      <c r="Y34">
        <v>1</v>
      </c>
      <c r="Z34">
        <v>3</v>
      </c>
      <c r="AA34">
        <v>71</v>
      </c>
      <c r="AB34">
        <v>4</v>
      </c>
      <c r="AC34">
        <v>5</v>
      </c>
      <c r="AD34">
        <v>2</v>
      </c>
      <c r="AE34">
        <v>19636</v>
      </c>
      <c r="AF34">
        <v>25811</v>
      </c>
      <c r="AG34">
        <v>4</v>
      </c>
      <c r="AH34">
        <v>18</v>
      </c>
      <c r="AI34">
        <v>3</v>
      </c>
      <c r="AJ34">
        <v>1</v>
      </c>
      <c r="AK34">
        <v>80</v>
      </c>
      <c r="AL34">
        <v>1</v>
      </c>
      <c r="AM34">
        <v>35</v>
      </c>
      <c r="AN34">
        <v>3</v>
      </c>
      <c r="AO34">
        <v>10</v>
      </c>
      <c r="AP34">
        <v>9</v>
      </c>
      <c r="AQ34">
        <v>1</v>
      </c>
      <c r="AR34">
        <v>4</v>
      </c>
    </row>
    <row r="35" spans="1:44" x14ac:dyDescent="0.25">
      <c r="A35" t="s">
        <v>44</v>
      </c>
      <c r="B35" t="s">
        <v>90</v>
      </c>
      <c r="C35" t="s">
        <v>38</v>
      </c>
      <c r="D35" t="s">
        <v>130</v>
      </c>
      <c r="E35" t="s">
        <v>32</v>
      </c>
      <c r="F35" t="s">
        <v>95</v>
      </c>
      <c r="G35" t="s">
        <v>131</v>
      </c>
      <c r="H35">
        <v>787</v>
      </c>
      <c r="I35" t="s">
        <v>13</v>
      </c>
      <c r="J35" t="s">
        <v>23</v>
      </c>
      <c r="K35" t="s">
        <v>41</v>
      </c>
      <c r="L35" t="s">
        <v>44</v>
      </c>
      <c r="M35" t="s">
        <v>94</v>
      </c>
      <c r="N35">
        <v>2</v>
      </c>
      <c r="O35">
        <v>-2</v>
      </c>
      <c r="P35">
        <v>0</v>
      </c>
      <c r="Q35">
        <v>55</v>
      </c>
      <c r="R35">
        <v>1</v>
      </c>
      <c r="S35">
        <v>1</v>
      </c>
      <c r="T35">
        <v>1</v>
      </c>
      <c r="U35">
        <v>0</v>
      </c>
      <c r="V35">
        <v>725</v>
      </c>
      <c r="W35">
        <v>2</v>
      </c>
      <c r="X35" t="s">
        <v>16</v>
      </c>
      <c r="Y35">
        <v>1</v>
      </c>
      <c r="Z35">
        <v>4</v>
      </c>
      <c r="AA35">
        <v>78</v>
      </c>
      <c r="AB35">
        <v>3</v>
      </c>
      <c r="AC35">
        <v>5</v>
      </c>
      <c r="AD35">
        <v>3</v>
      </c>
      <c r="AE35">
        <v>19859</v>
      </c>
      <c r="AF35">
        <v>21199</v>
      </c>
      <c r="AG35">
        <v>5</v>
      </c>
      <c r="AH35">
        <v>13</v>
      </c>
      <c r="AI35">
        <v>3</v>
      </c>
      <c r="AJ35">
        <v>4</v>
      </c>
      <c r="AK35">
        <v>80</v>
      </c>
      <c r="AL35">
        <v>1</v>
      </c>
      <c r="AM35">
        <v>24</v>
      </c>
      <c r="AN35">
        <v>3</v>
      </c>
      <c r="AO35">
        <v>5</v>
      </c>
      <c r="AP35">
        <v>2</v>
      </c>
      <c r="AQ35">
        <v>1</v>
      </c>
      <c r="AR35">
        <v>4</v>
      </c>
    </row>
    <row r="36" spans="1:44" x14ac:dyDescent="0.25">
      <c r="A36" t="s">
        <v>44</v>
      </c>
      <c r="B36" t="s">
        <v>90</v>
      </c>
      <c r="C36" t="s">
        <v>37</v>
      </c>
      <c r="D36" t="s">
        <v>130</v>
      </c>
      <c r="E36" t="s">
        <v>33</v>
      </c>
      <c r="F36" t="s">
        <v>97</v>
      </c>
      <c r="G36" t="s">
        <v>132</v>
      </c>
      <c r="H36">
        <v>1277</v>
      </c>
      <c r="I36" t="s">
        <v>12</v>
      </c>
      <c r="J36" t="s">
        <v>23</v>
      </c>
      <c r="K36" t="s">
        <v>42</v>
      </c>
      <c r="L36" t="s">
        <v>44</v>
      </c>
      <c r="M36" t="s">
        <v>94</v>
      </c>
      <c r="N36">
        <v>2</v>
      </c>
      <c r="O36">
        <v>-2</v>
      </c>
      <c r="P36">
        <v>0</v>
      </c>
      <c r="Q36">
        <v>45</v>
      </c>
      <c r="R36">
        <v>1</v>
      </c>
      <c r="S36">
        <v>1</v>
      </c>
      <c r="T36">
        <v>1</v>
      </c>
      <c r="U36">
        <v>0</v>
      </c>
      <c r="V36">
        <v>1449</v>
      </c>
      <c r="W36">
        <v>2</v>
      </c>
      <c r="X36" t="s">
        <v>16</v>
      </c>
      <c r="Y36">
        <v>1</v>
      </c>
      <c r="Z36">
        <v>1</v>
      </c>
      <c r="AA36">
        <v>94</v>
      </c>
      <c r="AB36">
        <v>1</v>
      </c>
      <c r="AC36">
        <v>5</v>
      </c>
      <c r="AD36">
        <v>2</v>
      </c>
      <c r="AE36">
        <v>18824</v>
      </c>
      <c r="AF36">
        <v>2493</v>
      </c>
      <c r="AG36">
        <v>2</v>
      </c>
      <c r="AH36">
        <v>16</v>
      </c>
      <c r="AI36">
        <v>3</v>
      </c>
      <c r="AJ36">
        <v>1</v>
      </c>
      <c r="AK36">
        <v>80</v>
      </c>
      <c r="AL36">
        <v>0</v>
      </c>
      <c r="AM36">
        <v>26</v>
      </c>
      <c r="AN36">
        <v>3</v>
      </c>
      <c r="AO36">
        <v>24</v>
      </c>
      <c r="AP36">
        <v>10</v>
      </c>
      <c r="AQ36">
        <v>1</v>
      </c>
      <c r="AR36">
        <v>11</v>
      </c>
    </row>
    <row r="37" spans="1:44" x14ac:dyDescent="0.25">
      <c r="A37" t="s">
        <v>43</v>
      </c>
      <c r="B37" t="s">
        <v>101</v>
      </c>
      <c r="C37" t="s">
        <v>36</v>
      </c>
      <c r="D37" t="s">
        <v>91</v>
      </c>
      <c r="E37" t="s">
        <v>32</v>
      </c>
      <c r="F37" t="s">
        <v>92</v>
      </c>
      <c r="G37" t="s">
        <v>133</v>
      </c>
      <c r="H37">
        <v>531</v>
      </c>
      <c r="I37" t="s">
        <v>13</v>
      </c>
      <c r="J37" t="s">
        <v>23</v>
      </c>
      <c r="K37" t="s">
        <v>40</v>
      </c>
      <c r="L37" t="s">
        <v>44</v>
      </c>
      <c r="M37" t="s">
        <v>94</v>
      </c>
      <c r="N37">
        <v>3</v>
      </c>
      <c r="O37">
        <v>-2</v>
      </c>
      <c r="P37">
        <v>0</v>
      </c>
      <c r="Q37">
        <v>39</v>
      </c>
      <c r="R37">
        <v>0</v>
      </c>
      <c r="T37">
        <v>0</v>
      </c>
      <c r="U37">
        <v>1</v>
      </c>
      <c r="V37">
        <v>1218</v>
      </c>
      <c r="W37">
        <v>1</v>
      </c>
      <c r="X37" t="s">
        <v>18</v>
      </c>
      <c r="Y37">
        <v>1</v>
      </c>
      <c r="Z37">
        <v>2</v>
      </c>
      <c r="AA37">
        <v>52</v>
      </c>
      <c r="AB37">
        <v>3</v>
      </c>
      <c r="AC37">
        <v>5</v>
      </c>
      <c r="AD37">
        <v>2</v>
      </c>
      <c r="AE37">
        <v>19197</v>
      </c>
      <c r="AF37">
        <v>8213</v>
      </c>
      <c r="AG37">
        <v>1</v>
      </c>
      <c r="AH37">
        <v>14</v>
      </c>
      <c r="AI37">
        <v>3</v>
      </c>
      <c r="AJ37">
        <v>3</v>
      </c>
      <c r="AK37">
        <v>80</v>
      </c>
      <c r="AL37">
        <v>1</v>
      </c>
      <c r="AM37">
        <v>21</v>
      </c>
      <c r="AN37">
        <v>3</v>
      </c>
      <c r="AO37">
        <v>21</v>
      </c>
      <c r="AP37">
        <v>8</v>
      </c>
      <c r="AQ37">
        <v>1</v>
      </c>
      <c r="AR37">
        <v>6</v>
      </c>
    </row>
    <row r="38" spans="1:44" x14ac:dyDescent="0.25">
      <c r="A38" t="s">
        <v>43</v>
      </c>
      <c r="B38" t="s">
        <v>134</v>
      </c>
      <c r="C38" t="s">
        <v>36</v>
      </c>
      <c r="D38" t="s">
        <v>91</v>
      </c>
      <c r="E38" t="s">
        <v>32</v>
      </c>
      <c r="F38" t="s">
        <v>92</v>
      </c>
      <c r="G38" t="s">
        <v>135</v>
      </c>
      <c r="H38">
        <v>2022</v>
      </c>
      <c r="I38" t="s">
        <v>13</v>
      </c>
      <c r="J38" t="s">
        <v>23</v>
      </c>
      <c r="K38" t="s">
        <v>42</v>
      </c>
      <c r="L38" t="s">
        <v>43</v>
      </c>
      <c r="M38" t="s">
        <v>94</v>
      </c>
      <c r="N38">
        <v>3</v>
      </c>
      <c r="O38">
        <v>-2</v>
      </c>
      <c r="P38">
        <v>0</v>
      </c>
      <c r="Q38">
        <v>39</v>
      </c>
      <c r="R38">
        <v>0</v>
      </c>
      <c r="T38">
        <v>0</v>
      </c>
      <c r="U38">
        <v>1</v>
      </c>
      <c r="V38">
        <v>105</v>
      </c>
      <c r="W38">
        <v>9</v>
      </c>
      <c r="X38" t="s">
        <v>16</v>
      </c>
      <c r="Y38">
        <v>1</v>
      </c>
      <c r="Z38">
        <v>4</v>
      </c>
      <c r="AA38">
        <v>87</v>
      </c>
      <c r="AB38">
        <v>3</v>
      </c>
      <c r="AC38">
        <v>5</v>
      </c>
      <c r="AD38">
        <v>4</v>
      </c>
      <c r="AE38">
        <v>19431</v>
      </c>
      <c r="AF38">
        <v>15302</v>
      </c>
      <c r="AG38">
        <v>2</v>
      </c>
      <c r="AH38">
        <v>13</v>
      </c>
      <c r="AI38">
        <v>3</v>
      </c>
      <c r="AJ38">
        <v>3</v>
      </c>
      <c r="AK38">
        <v>80</v>
      </c>
      <c r="AL38">
        <v>0</v>
      </c>
      <c r="AM38">
        <v>21</v>
      </c>
      <c r="AN38">
        <v>2</v>
      </c>
      <c r="AO38">
        <v>6</v>
      </c>
      <c r="AP38">
        <v>0</v>
      </c>
      <c r="AQ38">
        <v>1</v>
      </c>
      <c r="AR38">
        <v>3</v>
      </c>
    </row>
    <row r="39" spans="1:44" x14ac:dyDescent="0.25">
      <c r="A39" t="s">
        <v>43</v>
      </c>
      <c r="B39" t="s">
        <v>101</v>
      </c>
      <c r="C39" t="s">
        <v>37</v>
      </c>
      <c r="D39" t="s">
        <v>91</v>
      </c>
      <c r="E39" t="s">
        <v>32</v>
      </c>
      <c r="F39" t="s">
        <v>95</v>
      </c>
      <c r="G39" t="s">
        <v>136</v>
      </c>
      <c r="H39">
        <v>1520</v>
      </c>
      <c r="I39" t="s">
        <v>12</v>
      </c>
      <c r="J39" t="s">
        <v>23</v>
      </c>
      <c r="K39" t="s">
        <v>40</v>
      </c>
      <c r="L39" t="s">
        <v>43</v>
      </c>
      <c r="M39" t="s">
        <v>94</v>
      </c>
      <c r="N39">
        <v>2</v>
      </c>
      <c r="O39">
        <v>-2</v>
      </c>
      <c r="P39">
        <v>0</v>
      </c>
      <c r="Q39">
        <v>54</v>
      </c>
      <c r="R39">
        <v>0</v>
      </c>
      <c r="T39">
        <v>0</v>
      </c>
      <c r="U39">
        <v>1</v>
      </c>
      <c r="V39">
        <v>1050</v>
      </c>
      <c r="W39">
        <v>11</v>
      </c>
      <c r="X39" t="s">
        <v>19</v>
      </c>
      <c r="Y39">
        <v>1</v>
      </c>
      <c r="Z39">
        <v>2</v>
      </c>
      <c r="AA39">
        <v>87</v>
      </c>
      <c r="AB39">
        <v>3</v>
      </c>
      <c r="AC39">
        <v>4</v>
      </c>
      <c r="AD39">
        <v>4</v>
      </c>
      <c r="AE39">
        <v>16032</v>
      </c>
      <c r="AF39">
        <v>24456</v>
      </c>
      <c r="AG39">
        <v>3</v>
      </c>
      <c r="AH39">
        <v>20</v>
      </c>
      <c r="AI39">
        <v>4</v>
      </c>
      <c r="AJ39">
        <v>1</v>
      </c>
      <c r="AK39">
        <v>80</v>
      </c>
      <c r="AL39">
        <v>1</v>
      </c>
      <c r="AM39">
        <v>26</v>
      </c>
      <c r="AN39">
        <v>3</v>
      </c>
      <c r="AO39">
        <v>14</v>
      </c>
      <c r="AP39">
        <v>9</v>
      </c>
      <c r="AQ39">
        <v>1</v>
      </c>
      <c r="AR39">
        <v>12</v>
      </c>
    </row>
    <row r="40" spans="1:44" x14ac:dyDescent="0.25">
      <c r="A40" t="s">
        <v>43</v>
      </c>
      <c r="B40" t="s">
        <v>90</v>
      </c>
      <c r="C40" t="s">
        <v>38</v>
      </c>
      <c r="D40" t="s">
        <v>91</v>
      </c>
      <c r="E40" t="s">
        <v>32</v>
      </c>
      <c r="F40" t="s">
        <v>92</v>
      </c>
      <c r="G40" t="s">
        <v>137</v>
      </c>
      <c r="H40">
        <v>505</v>
      </c>
      <c r="I40" t="s">
        <v>12</v>
      </c>
      <c r="J40" t="s">
        <v>23</v>
      </c>
      <c r="K40" t="s">
        <v>42</v>
      </c>
      <c r="L40" t="s">
        <v>44</v>
      </c>
      <c r="M40" t="s">
        <v>94</v>
      </c>
      <c r="N40">
        <v>2</v>
      </c>
      <c r="O40">
        <v>-2</v>
      </c>
      <c r="P40">
        <v>0</v>
      </c>
      <c r="Q40">
        <v>55</v>
      </c>
      <c r="R40">
        <v>0</v>
      </c>
      <c r="T40">
        <v>0</v>
      </c>
      <c r="U40">
        <v>1</v>
      </c>
      <c r="V40">
        <v>1311</v>
      </c>
      <c r="W40">
        <v>2</v>
      </c>
      <c r="X40" t="s">
        <v>16</v>
      </c>
      <c r="Y40">
        <v>1</v>
      </c>
      <c r="Z40">
        <v>3</v>
      </c>
      <c r="AA40">
        <v>97</v>
      </c>
      <c r="AB40">
        <v>3</v>
      </c>
      <c r="AC40">
        <v>4</v>
      </c>
      <c r="AD40">
        <v>2</v>
      </c>
      <c r="AE40">
        <v>16659</v>
      </c>
      <c r="AF40">
        <v>23258</v>
      </c>
      <c r="AG40">
        <v>2</v>
      </c>
      <c r="AH40">
        <v>13</v>
      </c>
      <c r="AI40">
        <v>3</v>
      </c>
      <c r="AJ40">
        <v>3</v>
      </c>
      <c r="AK40">
        <v>80</v>
      </c>
      <c r="AL40">
        <v>0</v>
      </c>
      <c r="AM40">
        <v>30</v>
      </c>
      <c r="AN40">
        <v>3</v>
      </c>
      <c r="AO40">
        <v>5</v>
      </c>
      <c r="AP40">
        <v>4</v>
      </c>
      <c r="AQ40">
        <v>1</v>
      </c>
      <c r="AR40">
        <v>2</v>
      </c>
    </row>
    <row r="41" spans="1:44" x14ac:dyDescent="0.25">
      <c r="A41" t="s">
        <v>43</v>
      </c>
      <c r="B41" t="s">
        <v>90</v>
      </c>
      <c r="C41" t="s">
        <v>37</v>
      </c>
      <c r="D41" t="s">
        <v>91</v>
      </c>
      <c r="E41" t="s">
        <v>33</v>
      </c>
      <c r="F41" t="s">
        <v>92</v>
      </c>
      <c r="G41" t="s">
        <v>138</v>
      </c>
      <c r="H41">
        <v>1676</v>
      </c>
      <c r="I41" t="s">
        <v>12</v>
      </c>
      <c r="J41" t="s">
        <v>23</v>
      </c>
      <c r="K41" t="s">
        <v>40</v>
      </c>
      <c r="L41" t="s">
        <v>43</v>
      </c>
      <c r="M41" t="s">
        <v>94</v>
      </c>
      <c r="N41">
        <v>2</v>
      </c>
      <c r="O41">
        <v>-2</v>
      </c>
      <c r="P41">
        <v>0</v>
      </c>
      <c r="Q41">
        <v>47</v>
      </c>
      <c r="R41">
        <v>0</v>
      </c>
      <c r="T41">
        <v>0</v>
      </c>
      <c r="U41">
        <v>1</v>
      </c>
      <c r="V41">
        <v>1225</v>
      </c>
      <c r="W41">
        <v>2</v>
      </c>
      <c r="X41" t="s">
        <v>19</v>
      </c>
      <c r="Y41">
        <v>1</v>
      </c>
      <c r="Z41">
        <v>2</v>
      </c>
      <c r="AA41">
        <v>47</v>
      </c>
      <c r="AB41">
        <v>4</v>
      </c>
      <c r="AC41">
        <v>4</v>
      </c>
      <c r="AD41">
        <v>2</v>
      </c>
      <c r="AE41">
        <v>15972</v>
      </c>
      <c r="AF41">
        <v>21086</v>
      </c>
      <c r="AG41">
        <v>6</v>
      </c>
      <c r="AH41">
        <v>14</v>
      </c>
      <c r="AI41">
        <v>3</v>
      </c>
      <c r="AJ41">
        <v>3</v>
      </c>
      <c r="AK41">
        <v>80</v>
      </c>
      <c r="AL41">
        <v>3</v>
      </c>
      <c r="AM41">
        <v>29</v>
      </c>
      <c r="AN41">
        <v>3</v>
      </c>
      <c r="AO41">
        <v>3</v>
      </c>
      <c r="AP41">
        <v>2</v>
      </c>
      <c r="AQ41">
        <v>1</v>
      </c>
      <c r="AR41">
        <v>2</v>
      </c>
    </row>
    <row r="42" spans="1:44" x14ac:dyDescent="0.25">
      <c r="A42" t="s">
        <v>43</v>
      </c>
      <c r="B42" t="s">
        <v>101</v>
      </c>
      <c r="C42" t="s">
        <v>36</v>
      </c>
      <c r="D42" t="s">
        <v>91</v>
      </c>
      <c r="E42" t="s">
        <v>32</v>
      </c>
      <c r="F42" t="s">
        <v>92</v>
      </c>
      <c r="G42" t="s">
        <v>139</v>
      </c>
      <c r="H42">
        <v>199</v>
      </c>
      <c r="I42" t="s">
        <v>13</v>
      </c>
      <c r="J42" t="s">
        <v>23</v>
      </c>
      <c r="K42" t="s">
        <v>40</v>
      </c>
      <c r="L42" t="s">
        <v>43</v>
      </c>
      <c r="M42" t="s">
        <v>94</v>
      </c>
      <c r="N42">
        <v>2</v>
      </c>
      <c r="O42">
        <v>-2</v>
      </c>
      <c r="P42">
        <v>0</v>
      </c>
      <c r="Q42">
        <v>41</v>
      </c>
      <c r="R42">
        <v>0</v>
      </c>
      <c r="T42">
        <v>0</v>
      </c>
      <c r="U42">
        <v>1</v>
      </c>
      <c r="V42">
        <v>857</v>
      </c>
      <c r="W42">
        <v>10</v>
      </c>
      <c r="X42" t="s">
        <v>16</v>
      </c>
      <c r="Y42">
        <v>1</v>
      </c>
      <c r="Z42">
        <v>4</v>
      </c>
      <c r="AA42">
        <v>91</v>
      </c>
      <c r="AB42">
        <v>2</v>
      </c>
      <c r="AC42">
        <v>4</v>
      </c>
      <c r="AD42">
        <v>2</v>
      </c>
      <c r="AE42">
        <v>17181</v>
      </c>
      <c r="AF42">
        <v>12888</v>
      </c>
      <c r="AG42">
        <v>4</v>
      </c>
      <c r="AH42">
        <v>13</v>
      </c>
      <c r="AI42">
        <v>3</v>
      </c>
      <c r="AJ42">
        <v>2</v>
      </c>
      <c r="AK42">
        <v>80</v>
      </c>
      <c r="AL42">
        <v>1</v>
      </c>
      <c r="AM42">
        <v>21</v>
      </c>
      <c r="AN42">
        <v>2</v>
      </c>
      <c r="AO42">
        <v>7</v>
      </c>
      <c r="AP42">
        <v>6</v>
      </c>
      <c r="AQ42">
        <v>7</v>
      </c>
      <c r="AR42">
        <v>7</v>
      </c>
    </row>
    <row r="43" spans="1:44" x14ac:dyDescent="0.25">
      <c r="A43" t="s">
        <v>43</v>
      </c>
      <c r="B43" t="s">
        <v>101</v>
      </c>
      <c r="C43" t="s">
        <v>35</v>
      </c>
      <c r="D43" t="s">
        <v>91</v>
      </c>
      <c r="E43" t="s">
        <v>32</v>
      </c>
      <c r="F43" t="s">
        <v>92</v>
      </c>
      <c r="G43" t="s">
        <v>140</v>
      </c>
      <c r="H43">
        <v>428</v>
      </c>
      <c r="I43" t="s">
        <v>12</v>
      </c>
      <c r="J43" t="s">
        <v>23</v>
      </c>
      <c r="K43" t="s">
        <v>41</v>
      </c>
      <c r="L43" t="s">
        <v>43</v>
      </c>
      <c r="M43" t="s">
        <v>94</v>
      </c>
      <c r="N43">
        <v>2</v>
      </c>
      <c r="O43">
        <v>-2</v>
      </c>
      <c r="P43">
        <v>0</v>
      </c>
      <c r="Q43">
        <v>33</v>
      </c>
      <c r="R43">
        <v>0</v>
      </c>
      <c r="T43">
        <v>0</v>
      </c>
      <c r="U43">
        <v>1</v>
      </c>
      <c r="V43">
        <v>553</v>
      </c>
      <c r="W43">
        <v>5</v>
      </c>
      <c r="X43" t="s">
        <v>19</v>
      </c>
      <c r="Y43">
        <v>1</v>
      </c>
      <c r="Z43">
        <v>4</v>
      </c>
      <c r="AA43">
        <v>74</v>
      </c>
      <c r="AB43">
        <v>3</v>
      </c>
      <c r="AC43">
        <v>3</v>
      </c>
      <c r="AD43">
        <v>2</v>
      </c>
      <c r="AE43">
        <v>11878</v>
      </c>
      <c r="AF43">
        <v>23364</v>
      </c>
      <c r="AG43">
        <v>6</v>
      </c>
      <c r="AH43">
        <v>11</v>
      </c>
      <c r="AI43">
        <v>3</v>
      </c>
      <c r="AJ43">
        <v>2</v>
      </c>
      <c r="AK43">
        <v>80</v>
      </c>
      <c r="AL43">
        <v>2</v>
      </c>
      <c r="AM43">
        <v>12</v>
      </c>
      <c r="AN43">
        <v>3</v>
      </c>
      <c r="AO43">
        <v>10</v>
      </c>
      <c r="AP43">
        <v>6</v>
      </c>
      <c r="AQ43">
        <v>8</v>
      </c>
      <c r="AR43">
        <v>8</v>
      </c>
    </row>
    <row r="44" spans="1:44" x14ac:dyDescent="0.25">
      <c r="A44" t="s">
        <v>43</v>
      </c>
      <c r="B44" t="s">
        <v>101</v>
      </c>
      <c r="C44" t="s">
        <v>37</v>
      </c>
      <c r="D44" t="s">
        <v>91</v>
      </c>
      <c r="E44" t="s">
        <v>32</v>
      </c>
      <c r="F44" t="s">
        <v>95</v>
      </c>
      <c r="G44" t="s">
        <v>141</v>
      </c>
      <c r="H44">
        <v>1215</v>
      </c>
      <c r="I44" t="s">
        <v>12</v>
      </c>
      <c r="J44" t="s">
        <v>23</v>
      </c>
      <c r="K44" t="s">
        <v>41</v>
      </c>
      <c r="L44" t="s">
        <v>43</v>
      </c>
      <c r="M44" t="s">
        <v>94</v>
      </c>
      <c r="N44">
        <v>3</v>
      </c>
      <c r="O44">
        <v>-2</v>
      </c>
      <c r="P44">
        <v>0</v>
      </c>
      <c r="Q44">
        <v>50</v>
      </c>
      <c r="R44">
        <v>0</v>
      </c>
      <c r="T44">
        <v>0</v>
      </c>
      <c r="U44">
        <v>1</v>
      </c>
      <c r="V44">
        <v>1421</v>
      </c>
      <c r="W44">
        <v>2</v>
      </c>
      <c r="X44" t="s">
        <v>16</v>
      </c>
      <c r="Y44">
        <v>1</v>
      </c>
      <c r="Z44">
        <v>4</v>
      </c>
      <c r="AA44">
        <v>30</v>
      </c>
      <c r="AB44">
        <v>3</v>
      </c>
      <c r="AC44">
        <v>4</v>
      </c>
      <c r="AD44">
        <v>3</v>
      </c>
      <c r="AE44">
        <v>17856</v>
      </c>
      <c r="AF44">
        <v>9490</v>
      </c>
      <c r="AG44">
        <v>2</v>
      </c>
      <c r="AH44">
        <v>22</v>
      </c>
      <c r="AI44">
        <v>4</v>
      </c>
      <c r="AJ44">
        <v>3</v>
      </c>
      <c r="AK44">
        <v>80</v>
      </c>
      <c r="AL44">
        <v>1</v>
      </c>
      <c r="AM44">
        <v>32</v>
      </c>
      <c r="AN44">
        <v>3</v>
      </c>
      <c r="AO44">
        <v>2</v>
      </c>
      <c r="AP44">
        <v>2</v>
      </c>
      <c r="AQ44">
        <v>2</v>
      </c>
      <c r="AR44">
        <v>2</v>
      </c>
    </row>
    <row r="45" spans="1:44" x14ac:dyDescent="0.25">
      <c r="A45" t="s">
        <v>43</v>
      </c>
      <c r="B45" t="s">
        <v>101</v>
      </c>
      <c r="C45" t="s">
        <v>37</v>
      </c>
      <c r="D45" t="s">
        <v>91</v>
      </c>
      <c r="E45" t="s">
        <v>33</v>
      </c>
      <c r="F45" t="s">
        <v>92</v>
      </c>
      <c r="G45" t="s">
        <v>142</v>
      </c>
      <c r="H45">
        <v>1282</v>
      </c>
      <c r="I45" t="s">
        <v>13</v>
      </c>
      <c r="J45" t="s">
        <v>23</v>
      </c>
      <c r="K45" t="s">
        <v>40</v>
      </c>
      <c r="L45" t="s">
        <v>44</v>
      </c>
      <c r="M45" t="s">
        <v>94</v>
      </c>
      <c r="N45">
        <v>5</v>
      </c>
      <c r="O45">
        <v>-2</v>
      </c>
      <c r="P45">
        <v>0</v>
      </c>
      <c r="Q45">
        <v>51</v>
      </c>
      <c r="R45">
        <v>0</v>
      </c>
      <c r="T45">
        <v>0</v>
      </c>
      <c r="U45">
        <v>1</v>
      </c>
      <c r="V45">
        <v>237</v>
      </c>
      <c r="W45">
        <v>9</v>
      </c>
      <c r="X45" t="s">
        <v>16</v>
      </c>
      <c r="Y45">
        <v>1</v>
      </c>
      <c r="Z45">
        <v>4</v>
      </c>
      <c r="AA45">
        <v>83</v>
      </c>
      <c r="AB45">
        <v>3</v>
      </c>
      <c r="AC45">
        <v>5</v>
      </c>
      <c r="AD45">
        <v>1</v>
      </c>
      <c r="AE45">
        <v>19847</v>
      </c>
      <c r="AF45">
        <v>19196</v>
      </c>
      <c r="AG45">
        <v>4</v>
      </c>
      <c r="AH45">
        <v>24</v>
      </c>
      <c r="AI45">
        <v>4</v>
      </c>
      <c r="AJ45">
        <v>1</v>
      </c>
      <c r="AK45">
        <v>80</v>
      </c>
      <c r="AL45">
        <v>1</v>
      </c>
      <c r="AM45">
        <v>31</v>
      </c>
      <c r="AN45">
        <v>2</v>
      </c>
      <c r="AO45">
        <v>29</v>
      </c>
      <c r="AP45">
        <v>10</v>
      </c>
      <c r="AQ45">
        <v>11</v>
      </c>
      <c r="AR45">
        <v>10</v>
      </c>
    </row>
    <row r="46" spans="1:44" x14ac:dyDescent="0.25">
      <c r="A46" t="s">
        <v>43</v>
      </c>
      <c r="B46" t="s">
        <v>101</v>
      </c>
      <c r="C46" t="s">
        <v>37</v>
      </c>
      <c r="D46" t="s">
        <v>91</v>
      </c>
      <c r="E46" t="s">
        <v>32</v>
      </c>
      <c r="F46" t="s">
        <v>95</v>
      </c>
      <c r="G46" t="s">
        <v>143</v>
      </c>
      <c r="H46">
        <v>1900</v>
      </c>
      <c r="I46" t="s">
        <v>12</v>
      </c>
      <c r="J46" t="s">
        <v>23</v>
      </c>
      <c r="K46" t="s">
        <v>40</v>
      </c>
      <c r="L46" t="s">
        <v>43</v>
      </c>
      <c r="M46" t="s">
        <v>94</v>
      </c>
      <c r="N46">
        <v>3</v>
      </c>
      <c r="O46">
        <v>-2</v>
      </c>
      <c r="P46">
        <v>0</v>
      </c>
      <c r="Q46">
        <v>48</v>
      </c>
      <c r="R46">
        <v>0</v>
      </c>
      <c r="T46">
        <v>0</v>
      </c>
      <c r="U46">
        <v>1</v>
      </c>
      <c r="V46">
        <v>117</v>
      </c>
      <c r="W46">
        <v>22</v>
      </c>
      <c r="X46" t="s">
        <v>16</v>
      </c>
      <c r="Y46">
        <v>1</v>
      </c>
      <c r="Z46">
        <v>4</v>
      </c>
      <c r="AA46">
        <v>58</v>
      </c>
      <c r="AB46">
        <v>3</v>
      </c>
      <c r="AC46">
        <v>4</v>
      </c>
      <c r="AD46">
        <v>4</v>
      </c>
      <c r="AE46">
        <v>17174</v>
      </c>
      <c r="AF46">
        <v>2437</v>
      </c>
      <c r="AG46">
        <v>3</v>
      </c>
      <c r="AH46">
        <v>11</v>
      </c>
      <c r="AI46">
        <v>3</v>
      </c>
      <c r="AJ46">
        <v>2</v>
      </c>
      <c r="AK46">
        <v>80</v>
      </c>
      <c r="AL46">
        <v>1</v>
      </c>
      <c r="AM46">
        <v>24</v>
      </c>
      <c r="AN46">
        <v>3</v>
      </c>
      <c r="AO46">
        <v>22</v>
      </c>
      <c r="AP46">
        <v>17</v>
      </c>
      <c r="AQ46">
        <v>4</v>
      </c>
      <c r="AR46">
        <v>7</v>
      </c>
    </row>
    <row r="47" spans="1:44" x14ac:dyDescent="0.25">
      <c r="A47" t="s">
        <v>43</v>
      </c>
      <c r="B47" t="s">
        <v>101</v>
      </c>
      <c r="C47" t="s">
        <v>37</v>
      </c>
      <c r="D47" t="s">
        <v>91</v>
      </c>
      <c r="E47" t="s">
        <v>32</v>
      </c>
      <c r="F47" t="s">
        <v>95</v>
      </c>
      <c r="G47" t="s">
        <v>144</v>
      </c>
      <c r="H47">
        <v>1644</v>
      </c>
      <c r="I47" t="s">
        <v>13</v>
      </c>
      <c r="J47" t="s">
        <v>23</v>
      </c>
      <c r="K47" t="s">
        <v>41</v>
      </c>
      <c r="L47" t="s">
        <v>43</v>
      </c>
      <c r="M47" t="s">
        <v>94</v>
      </c>
      <c r="N47">
        <v>3</v>
      </c>
      <c r="O47">
        <v>-2</v>
      </c>
      <c r="P47">
        <v>0</v>
      </c>
      <c r="Q47">
        <v>48</v>
      </c>
      <c r="R47">
        <v>0</v>
      </c>
      <c r="T47">
        <v>0</v>
      </c>
      <c r="U47">
        <v>1</v>
      </c>
      <c r="V47">
        <v>365</v>
      </c>
      <c r="W47">
        <v>4</v>
      </c>
      <c r="X47" t="s">
        <v>17</v>
      </c>
      <c r="Y47">
        <v>1</v>
      </c>
      <c r="Z47">
        <v>3</v>
      </c>
      <c r="AA47">
        <v>89</v>
      </c>
      <c r="AB47">
        <v>2</v>
      </c>
      <c r="AC47">
        <v>4</v>
      </c>
      <c r="AD47">
        <v>4</v>
      </c>
      <c r="AE47">
        <v>15202</v>
      </c>
      <c r="AF47">
        <v>5602</v>
      </c>
      <c r="AG47">
        <v>2</v>
      </c>
      <c r="AH47">
        <v>25</v>
      </c>
      <c r="AI47">
        <v>4</v>
      </c>
      <c r="AJ47">
        <v>2</v>
      </c>
      <c r="AK47">
        <v>80</v>
      </c>
      <c r="AL47">
        <v>1</v>
      </c>
      <c r="AM47">
        <v>23</v>
      </c>
      <c r="AN47">
        <v>3</v>
      </c>
      <c r="AO47">
        <v>2</v>
      </c>
      <c r="AP47">
        <v>2</v>
      </c>
      <c r="AQ47">
        <v>2</v>
      </c>
      <c r="AR47">
        <v>2</v>
      </c>
    </row>
    <row r="48" spans="1:44" x14ac:dyDescent="0.25">
      <c r="A48" t="s">
        <v>43</v>
      </c>
      <c r="B48" t="s">
        <v>134</v>
      </c>
      <c r="C48" t="s">
        <v>38</v>
      </c>
      <c r="D48" t="s">
        <v>91</v>
      </c>
      <c r="E48" t="s">
        <v>31</v>
      </c>
      <c r="F48" t="s">
        <v>21</v>
      </c>
      <c r="G48" t="s">
        <v>145</v>
      </c>
      <c r="H48">
        <v>140</v>
      </c>
      <c r="I48" t="s">
        <v>12</v>
      </c>
      <c r="J48" t="s">
        <v>23</v>
      </c>
      <c r="K48" t="s">
        <v>41</v>
      </c>
      <c r="L48" t="s">
        <v>43</v>
      </c>
      <c r="M48" t="s">
        <v>94</v>
      </c>
      <c r="N48">
        <v>3</v>
      </c>
      <c r="O48">
        <v>-2</v>
      </c>
      <c r="P48">
        <v>0</v>
      </c>
      <c r="Q48">
        <v>59</v>
      </c>
      <c r="R48">
        <v>0</v>
      </c>
      <c r="T48">
        <v>0</v>
      </c>
      <c r="U48">
        <v>1</v>
      </c>
      <c r="V48">
        <v>1420</v>
      </c>
      <c r="W48">
        <v>2</v>
      </c>
      <c r="X48" t="s">
        <v>19</v>
      </c>
      <c r="Y48">
        <v>1</v>
      </c>
      <c r="Z48">
        <v>3</v>
      </c>
      <c r="AA48">
        <v>32</v>
      </c>
      <c r="AB48">
        <v>2</v>
      </c>
      <c r="AC48">
        <v>5</v>
      </c>
      <c r="AD48">
        <v>4</v>
      </c>
      <c r="AE48">
        <v>18844</v>
      </c>
      <c r="AF48">
        <v>21922</v>
      </c>
      <c r="AG48">
        <v>9</v>
      </c>
      <c r="AH48">
        <v>21</v>
      </c>
      <c r="AI48">
        <v>4</v>
      </c>
      <c r="AJ48">
        <v>4</v>
      </c>
      <c r="AK48">
        <v>80</v>
      </c>
      <c r="AL48">
        <v>1</v>
      </c>
      <c r="AM48">
        <v>30</v>
      </c>
      <c r="AN48">
        <v>3</v>
      </c>
      <c r="AO48">
        <v>3</v>
      </c>
      <c r="AP48">
        <v>2</v>
      </c>
      <c r="AQ48">
        <v>2</v>
      </c>
      <c r="AR48">
        <v>2</v>
      </c>
    </row>
    <row r="49" spans="1:44" x14ac:dyDescent="0.25">
      <c r="A49" t="s">
        <v>43</v>
      </c>
      <c r="B49" t="s">
        <v>134</v>
      </c>
      <c r="C49" t="s">
        <v>37</v>
      </c>
      <c r="D49" t="s">
        <v>91</v>
      </c>
      <c r="E49" t="s">
        <v>31</v>
      </c>
      <c r="F49" t="s">
        <v>21</v>
      </c>
      <c r="G49" t="s">
        <v>146</v>
      </c>
      <c r="H49">
        <v>148</v>
      </c>
      <c r="I49" t="s">
        <v>12</v>
      </c>
      <c r="J49" t="s">
        <v>23</v>
      </c>
      <c r="K49" t="s">
        <v>42</v>
      </c>
      <c r="L49" t="s">
        <v>44</v>
      </c>
      <c r="M49" t="s">
        <v>94</v>
      </c>
      <c r="N49">
        <v>3</v>
      </c>
      <c r="O49">
        <v>-2</v>
      </c>
      <c r="P49">
        <v>0</v>
      </c>
      <c r="Q49">
        <v>54</v>
      </c>
      <c r="R49">
        <v>0</v>
      </c>
      <c r="T49">
        <v>0</v>
      </c>
      <c r="U49">
        <v>1</v>
      </c>
      <c r="V49">
        <v>142</v>
      </c>
      <c r="W49">
        <v>26</v>
      </c>
      <c r="X49" t="s">
        <v>16</v>
      </c>
      <c r="Y49">
        <v>1</v>
      </c>
      <c r="Z49">
        <v>4</v>
      </c>
      <c r="AA49">
        <v>30</v>
      </c>
      <c r="AB49">
        <v>4</v>
      </c>
      <c r="AC49">
        <v>4</v>
      </c>
      <c r="AD49">
        <v>4</v>
      </c>
      <c r="AE49">
        <v>17328</v>
      </c>
      <c r="AF49">
        <v>13871</v>
      </c>
      <c r="AG49">
        <v>2</v>
      </c>
      <c r="AH49">
        <v>12</v>
      </c>
      <c r="AI49">
        <v>3</v>
      </c>
      <c r="AJ49">
        <v>3</v>
      </c>
      <c r="AK49">
        <v>80</v>
      </c>
      <c r="AL49">
        <v>0</v>
      </c>
      <c r="AM49">
        <v>23</v>
      </c>
      <c r="AN49">
        <v>3</v>
      </c>
      <c r="AO49">
        <v>5</v>
      </c>
      <c r="AP49">
        <v>3</v>
      </c>
      <c r="AQ49">
        <v>4</v>
      </c>
      <c r="AR49">
        <v>4</v>
      </c>
    </row>
    <row r="50" spans="1:44" x14ac:dyDescent="0.25">
      <c r="A50" t="s">
        <v>43</v>
      </c>
      <c r="B50" t="s">
        <v>134</v>
      </c>
      <c r="C50" t="s">
        <v>37</v>
      </c>
      <c r="D50" t="s">
        <v>91</v>
      </c>
      <c r="E50" t="s">
        <v>32</v>
      </c>
      <c r="F50" t="s">
        <v>95</v>
      </c>
      <c r="G50" t="s">
        <v>147</v>
      </c>
      <c r="H50">
        <v>264</v>
      </c>
      <c r="I50" t="s">
        <v>13</v>
      </c>
      <c r="J50" t="s">
        <v>23</v>
      </c>
      <c r="K50" t="s">
        <v>41</v>
      </c>
      <c r="L50" t="s">
        <v>43</v>
      </c>
      <c r="M50" t="s">
        <v>94</v>
      </c>
      <c r="N50">
        <v>1</v>
      </c>
      <c r="O50">
        <v>-2</v>
      </c>
      <c r="P50">
        <v>0</v>
      </c>
      <c r="Q50">
        <v>45</v>
      </c>
      <c r="R50">
        <v>0</v>
      </c>
      <c r="T50">
        <v>0</v>
      </c>
      <c r="U50">
        <v>1</v>
      </c>
      <c r="V50">
        <v>1195</v>
      </c>
      <c r="W50">
        <v>2</v>
      </c>
      <c r="X50" t="s">
        <v>15</v>
      </c>
      <c r="Y50">
        <v>1</v>
      </c>
      <c r="Z50">
        <v>1</v>
      </c>
      <c r="AA50">
        <v>65</v>
      </c>
      <c r="AB50">
        <v>2</v>
      </c>
      <c r="AC50">
        <v>4</v>
      </c>
      <c r="AD50">
        <v>4</v>
      </c>
      <c r="AE50">
        <v>16792</v>
      </c>
      <c r="AF50">
        <v>20462</v>
      </c>
      <c r="AG50">
        <v>9</v>
      </c>
      <c r="AH50">
        <v>23</v>
      </c>
      <c r="AI50">
        <v>4</v>
      </c>
      <c r="AJ50">
        <v>4</v>
      </c>
      <c r="AK50">
        <v>80</v>
      </c>
      <c r="AL50">
        <v>1</v>
      </c>
      <c r="AM50">
        <v>22</v>
      </c>
      <c r="AN50">
        <v>3</v>
      </c>
      <c r="AO50">
        <v>20</v>
      </c>
      <c r="AP50">
        <v>8</v>
      </c>
      <c r="AQ50">
        <v>11</v>
      </c>
      <c r="AR50">
        <v>8</v>
      </c>
    </row>
    <row r="51" spans="1:44" x14ac:dyDescent="0.25">
      <c r="A51" t="s">
        <v>43</v>
      </c>
      <c r="B51" t="s">
        <v>134</v>
      </c>
      <c r="C51" t="s">
        <v>38</v>
      </c>
      <c r="D51" t="s">
        <v>91</v>
      </c>
      <c r="E51" t="s">
        <v>32</v>
      </c>
      <c r="F51" t="s">
        <v>95</v>
      </c>
      <c r="G51" t="s">
        <v>148</v>
      </c>
      <c r="H51">
        <v>1074</v>
      </c>
      <c r="I51" t="s">
        <v>13</v>
      </c>
      <c r="J51" t="s">
        <v>23</v>
      </c>
      <c r="K51" t="s">
        <v>42</v>
      </c>
      <c r="L51" t="s">
        <v>43</v>
      </c>
      <c r="M51" t="s">
        <v>94</v>
      </c>
      <c r="N51">
        <v>3</v>
      </c>
      <c r="O51">
        <v>-2</v>
      </c>
      <c r="P51">
        <v>0</v>
      </c>
      <c r="Q51">
        <v>55</v>
      </c>
      <c r="R51">
        <v>0</v>
      </c>
      <c r="T51">
        <v>0</v>
      </c>
      <c r="U51">
        <v>1</v>
      </c>
      <c r="V51">
        <v>444</v>
      </c>
      <c r="W51">
        <v>2</v>
      </c>
      <c r="X51" t="s">
        <v>18</v>
      </c>
      <c r="Y51">
        <v>1</v>
      </c>
      <c r="Z51">
        <v>3</v>
      </c>
      <c r="AA51">
        <v>40</v>
      </c>
      <c r="AB51">
        <v>2</v>
      </c>
      <c r="AC51">
        <v>4</v>
      </c>
      <c r="AD51">
        <v>3</v>
      </c>
      <c r="AE51">
        <v>16756</v>
      </c>
      <c r="AF51">
        <v>17323</v>
      </c>
      <c r="AG51">
        <v>7</v>
      </c>
      <c r="AH51">
        <v>15</v>
      </c>
      <c r="AI51">
        <v>3</v>
      </c>
      <c r="AJ51">
        <v>2</v>
      </c>
      <c r="AK51">
        <v>80</v>
      </c>
      <c r="AL51">
        <v>0</v>
      </c>
      <c r="AM51">
        <v>31</v>
      </c>
      <c r="AN51">
        <v>4</v>
      </c>
      <c r="AO51">
        <v>9</v>
      </c>
      <c r="AP51">
        <v>7</v>
      </c>
      <c r="AQ51">
        <v>6</v>
      </c>
      <c r="AR51">
        <v>2</v>
      </c>
    </row>
    <row r="52" spans="1:44" x14ac:dyDescent="0.25">
      <c r="A52" t="s">
        <v>43</v>
      </c>
      <c r="B52" t="s">
        <v>134</v>
      </c>
      <c r="C52" t="s">
        <v>37</v>
      </c>
      <c r="D52" t="s">
        <v>91</v>
      </c>
      <c r="E52" t="s">
        <v>32</v>
      </c>
      <c r="F52" t="s">
        <v>95</v>
      </c>
      <c r="G52" t="s">
        <v>149</v>
      </c>
      <c r="H52">
        <v>1116</v>
      </c>
      <c r="I52" t="s">
        <v>13</v>
      </c>
      <c r="J52" t="s">
        <v>23</v>
      </c>
      <c r="K52" t="s">
        <v>42</v>
      </c>
      <c r="L52" t="s">
        <v>43</v>
      </c>
      <c r="M52" t="s">
        <v>94</v>
      </c>
      <c r="N52">
        <v>3</v>
      </c>
      <c r="O52">
        <v>-2</v>
      </c>
      <c r="P52">
        <v>0</v>
      </c>
      <c r="Q52">
        <v>48</v>
      </c>
      <c r="R52">
        <v>0</v>
      </c>
      <c r="T52">
        <v>0</v>
      </c>
      <c r="U52">
        <v>1</v>
      </c>
      <c r="V52">
        <v>1262</v>
      </c>
      <c r="W52">
        <v>1</v>
      </c>
      <c r="X52" t="s">
        <v>19</v>
      </c>
      <c r="Y52">
        <v>1</v>
      </c>
      <c r="Z52">
        <v>1</v>
      </c>
      <c r="AA52">
        <v>35</v>
      </c>
      <c r="AB52">
        <v>4</v>
      </c>
      <c r="AC52">
        <v>4</v>
      </c>
      <c r="AD52">
        <v>4</v>
      </c>
      <c r="AE52">
        <v>16885</v>
      </c>
      <c r="AF52">
        <v>16154</v>
      </c>
      <c r="AG52">
        <v>2</v>
      </c>
      <c r="AH52">
        <v>22</v>
      </c>
      <c r="AI52">
        <v>4</v>
      </c>
      <c r="AJ52">
        <v>3</v>
      </c>
      <c r="AK52">
        <v>80</v>
      </c>
      <c r="AL52">
        <v>0</v>
      </c>
      <c r="AM52">
        <v>27</v>
      </c>
      <c r="AN52">
        <v>2</v>
      </c>
      <c r="AO52">
        <v>5</v>
      </c>
      <c r="AP52">
        <v>4</v>
      </c>
      <c r="AQ52">
        <v>2</v>
      </c>
      <c r="AR52">
        <v>1</v>
      </c>
    </row>
    <row r="53" spans="1:44" x14ac:dyDescent="0.25">
      <c r="A53" t="s">
        <v>43</v>
      </c>
      <c r="B53" t="s">
        <v>134</v>
      </c>
      <c r="C53" t="s">
        <v>36</v>
      </c>
      <c r="D53" t="s">
        <v>91</v>
      </c>
      <c r="E53" t="s">
        <v>32</v>
      </c>
      <c r="F53" t="s">
        <v>92</v>
      </c>
      <c r="G53" t="s">
        <v>150</v>
      </c>
      <c r="H53">
        <v>1334</v>
      </c>
      <c r="I53" t="s">
        <v>13</v>
      </c>
      <c r="J53" t="s">
        <v>23</v>
      </c>
      <c r="K53" t="s">
        <v>41</v>
      </c>
      <c r="L53" t="s">
        <v>44</v>
      </c>
      <c r="M53" t="s">
        <v>94</v>
      </c>
      <c r="N53">
        <v>3</v>
      </c>
      <c r="O53">
        <v>-2</v>
      </c>
      <c r="P53">
        <v>0</v>
      </c>
      <c r="Q53">
        <v>42</v>
      </c>
      <c r="R53">
        <v>0</v>
      </c>
      <c r="T53">
        <v>0</v>
      </c>
      <c r="U53">
        <v>1</v>
      </c>
      <c r="V53">
        <v>495</v>
      </c>
      <c r="W53">
        <v>2</v>
      </c>
      <c r="X53" t="s">
        <v>18</v>
      </c>
      <c r="Y53">
        <v>1</v>
      </c>
      <c r="Z53">
        <v>3</v>
      </c>
      <c r="AA53">
        <v>37</v>
      </c>
      <c r="AB53">
        <v>3</v>
      </c>
      <c r="AC53">
        <v>4</v>
      </c>
      <c r="AD53">
        <v>3</v>
      </c>
      <c r="AE53">
        <v>17861</v>
      </c>
      <c r="AF53">
        <v>26582</v>
      </c>
      <c r="AG53">
        <v>0</v>
      </c>
      <c r="AH53">
        <v>13</v>
      </c>
      <c r="AI53">
        <v>3</v>
      </c>
      <c r="AJ53">
        <v>4</v>
      </c>
      <c r="AK53">
        <v>80</v>
      </c>
      <c r="AL53">
        <v>0</v>
      </c>
      <c r="AM53">
        <v>21</v>
      </c>
      <c r="AN53">
        <v>2</v>
      </c>
      <c r="AO53">
        <v>20</v>
      </c>
      <c r="AP53">
        <v>8</v>
      </c>
      <c r="AQ53">
        <v>2</v>
      </c>
      <c r="AR53">
        <v>10</v>
      </c>
    </row>
    <row r="54" spans="1:44" x14ac:dyDescent="0.25">
      <c r="A54" t="s">
        <v>43</v>
      </c>
      <c r="B54" t="s">
        <v>134</v>
      </c>
      <c r="C54" t="s">
        <v>38</v>
      </c>
      <c r="D54" t="s">
        <v>91</v>
      </c>
      <c r="E54" t="s">
        <v>33</v>
      </c>
      <c r="F54" t="s">
        <v>95</v>
      </c>
      <c r="G54" t="s">
        <v>151</v>
      </c>
      <c r="H54">
        <v>1824</v>
      </c>
      <c r="I54" t="s">
        <v>13</v>
      </c>
      <c r="J54" t="s">
        <v>23</v>
      </c>
      <c r="K54" t="s">
        <v>40</v>
      </c>
      <c r="L54" t="s">
        <v>43</v>
      </c>
      <c r="M54" t="s">
        <v>94</v>
      </c>
      <c r="N54">
        <v>0</v>
      </c>
      <c r="O54">
        <v>-2</v>
      </c>
      <c r="P54">
        <v>0</v>
      </c>
      <c r="Q54">
        <v>58</v>
      </c>
      <c r="R54">
        <v>0</v>
      </c>
      <c r="T54">
        <v>0</v>
      </c>
      <c r="U54">
        <v>1</v>
      </c>
      <c r="V54">
        <v>350</v>
      </c>
      <c r="W54">
        <v>2</v>
      </c>
      <c r="X54" t="s">
        <v>16</v>
      </c>
      <c r="Y54">
        <v>1</v>
      </c>
      <c r="Z54">
        <v>2</v>
      </c>
      <c r="AA54">
        <v>52</v>
      </c>
      <c r="AB54">
        <v>3</v>
      </c>
      <c r="AC54">
        <v>4</v>
      </c>
      <c r="AD54">
        <v>2</v>
      </c>
      <c r="AE54">
        <v>16291</v>
      </c>
      <c r="AF54">
        <v>22577</v>
      </c>
      <c r="AG54">
        <v>4</v>
      </c>
      <c r="AH54">
        <v>22</v>
      </c>
      <c r="AI54">
        <v>4</v>
      </c>
      <c r="AJ54">
        <v>4</v>
      </c>
      <c r="AK54">
        <v>80</v>
      </c>
      <c r="AL54">
        <v>1</v>
      </c>
      <c r="AM54">
        <v>37</v>
      </c>
      <c r="AN54">
        <v>2</v>
      </c>
      <c r="AO54">
        <v>16</v>
      </c>
      <c r="AP54">
        <v>9</v>
      </c>
      <c r="AQ54">
        <v>14</v>
      </c>
      <c r="AR54">
        <v>14</v>
      </c>
    </row>
    <row r="55" spans="1:44" x14ac:dyDescent="0.25">
      <c r="A55" t="s">
        <v>43</v>
      </c>
      <c r="B55" t="s">
        <v>90</v>
      </c>
      <c r="C55" t="s">
        <v>37</v>
      </c>
      <c r="D55" t="s">
        <v>91</v>
      </c>
      <c r="E55" t="s">
        <v>33</v>
      </c>
      <c r="F55" t="s">
        <v>92</v>
      </c>
      <c r="G55" t="s">
        <v>152</v>
      </c>
      <c r="H55">
        <v>23</v>
      </c>
      <c r="I55" t="s">
        <v>12</v>
      </c>
      <c r="J55" t="s">
        <v>23</v>
      </c>
      <c r="K55" t="s">
        <v>41</v>
      </c>
      <c r="L55" t="s">
        <v>43</v>
      </c>
      <c r="M55" t="s">
        <v>94</v>
      </c>
      <c r="N55">
        <v>3</v>
      </c>
      <c r="O55">
        <v>-2</v>
      </c>
      <c r="P55">
        <v>0</v>
      </c>
      <c r="Q55">
        <v>53</v>
      </c>
      <c r="R55">
        <v>0</v>
      </c>
      <c r="T55">
        <v>0</v>
      </c>
      <c r="U55">
        <v>1</v>
      </c>
      <c r="V55">
        <v>1219</v>
      </c>
      <c r="W55">
        <v>2</v>
      </c>
      <c r="X55" t="s">
        <v>19</v>
      </c>
      <c r="Y55">
        <v>1</v>
      </c>
      <c r="Z55">
        <v>1</v>
      </c>
      <c r="AA55">
        <v>78</v>
      </c>
      <c r="AB55">
        <v>2</v>
      </c>
      <c r="AC55">
        <v>4</v>
      </c>
      <c r="AD55">
        <v>2</v>
      </c>
      <c r="AE55">
        <v>15427</v>
      </c>
      <c r="AF55">
        <v>22021</v>
      </c>
      <c r="AG55">
        <v>2</v>
      </c>
      <c r="AH55">
        <v>16</v>
      </c>
      <c r="AI55">
        <v>3</v>
      </c>
      <c r="AJ55">
        <v>3</v>
      </c>
      <c r="AK55">
        <v>80</v>
      </c>
      <c r="AL55">
        <v>0</v>
      </c>
      <c r="AM55">
        <v>31</v>
      </c>
      <c r="AN55">
        <v>3</v>
      </c>
      <c r="AO55">
        <v>25</v>
      </c>
      <c r="AP55">
        <v>8</v>
      </c>
      <c r="AQ55">
        <v>3</v>
      </c>
      <c r="AR55">
        <v>7</v>
      </c>
    </row>
    <row r="56" spans="1:44" x14ac:dyDescent="0.25">
      <c r="A56" t="s">
        <v>43</v>
      </c>
      <c r="B56" t="s">
        <v>90</v>
      </c>
      <c r="C56" t="s">
        <v>35</v>
      </c>
      <c r="D56" t="s">
        <v>91</v>
      </c>
      <c r="E56" t="s">
        <v>32</v>
      </c>
      <c r="F56" t="s">
        <v>95</v>
      </c>
      <c r="G56" t="s">
        <v>153</v>
      </c>
      <c r="H56">
        <v>153</v>
      </c>
      <c r="I56" t="s">
        <v>12</v>
      </c>
      <c r="J56" t="s">
        <v>23</v>
      </c>
      <c r="K56" t="s">
        <v>42</v>
      </c>
      <c r="L56" t="s">
        <v>43</v>
      </c>
      <c r="M56" t="s">
        <v>94</v>
      </c>
      <c r="N56">
        <v>6</v>
      </c>
      <c r="O56">
        <v>-2</v>
      </c>
      <c r="P56">
        <v>0</v>
      </c>
      <c r="Q56">
        <v>34</v>
      </c>
      <c r="R56">
        <v>0</v>
      </c>
      <c r="T56">
        <v>0</v>
      </c>
      <c r="U56">
        <v>1</v>
      </c>
      <c r="V56">
        <v>1354</v>
      </c>
      <c r="W56">
        <v>5</v>
      </c>
      <c r="X56" t="s">
        <v>16</v>
      </c>
      <c r="Y56">
        <v>1</v>
      </c>
      <c r="Z56">
        <v>3</v>
      </c>
      <c r="AA56">
        <v>45</v>
      </c>
      <c r="AB56">
        <v>2</v>
      </c>
      <c r="AC56">
        <v>3</v>
      </c>
      <c r="AD56">
        <v>4</v>
      </c>
      <c r="AE56">
        <v>11631</v>
      </c>
      <c r="AF56">
        <v>5615</v>
      </c>
      <c r="AG56">
        <v>2</v>
      </c>
      <c r="AH56">
        <v>12</v>
      </c>
      <c r="AI56">
        <v>3</v>
      </c>
      <c r="AJ56">
        <v>4</v>
      </c>
      <c r="AK56">
        <v>80</v>
      </c>
      <c r="AL56">
        <v>0</v>
      </c>
      <c r="AM56">
        <v>14</v>
      </c>
      <c r="AN56">
        <v>3</v>
      </c>
      <c r="AO56">
        <v>11</v>
      </c>
      <c r="AP56">
        <v>10</v>
      </c>
      <c r="AQ56">
        <v>5</v>
      </c>
      <c r="AR56">
        <v>8</v>
      </c>
    </row>
    <row r="57" spans="1:44" x14ac:dyDescent="0.25">
      <c r="A57" t="s">
        <v>43</v>
      </c>
      <c r="B57" t="s">
        <v>90</v>
      </c>
      <c r="C57" t="s">
        <v>37</v>
      </c>
      <c r="D57" t="s">
        <v>91</v>
      </c>
      <c r="E57" t="s">
        <v>32</v>
      </c>
      <c r="F57" t="s">
        <v>92</v>
      </c>
      <c r="G57" t="s">
        <v>154</v>
      </c>
      <c r="H57">
        <v>259</v>
      </c>
      <c r="I57" t="s">
        <v>13</v>
      </c>
      <c r="J57" t="s">
        <v>23</v>
      </c>
      <c r="K57" t="s">
        <v>41</v>
      </c>
      <c r="L57" t="s">
        <v>43</v>
      </c>
      <c r="M57" t="s">
        <v>94</v>
      </c>
      <c r="N57">
        <v>5</v>
      </c>
      <c r="O57">
        <v>-2</v>
      </c>
      <c r="P57">
        <v>0</v>
      </c>
      <c r="Q57">
        <v>52</v>
      </c>
      <c r="R57">
        <v>0</v>
      </c>
      <c r="T57">
        <v>0</v>
      </c>
      <c r="U57">
        <v>1</v>
      </c>
      <c r="V57">
        <v>699</v>
      </c>
      <c r="W57">
        <v>1</v>
      </c>
      <c r="X57" t="s">
        <v>19</v>
      </c>
      <c r="Y57">
        <v>1</v>
      </c>
      <c r="Z57">
        <v>3</v>
      </c>
      <c r="AA57">
        <v>65</v>
      </c>
      <c r="AB57">
        <v>2</v>
      </c>
      <c r="AC57">
        <v>5</v>
      </c>
      <c r="AD57">
        <v>2</v>
      </c>
      <c r="AE57">
        <v>19999</v>
      </c>
      <c r="AF57">
        <v>5678</v>
      </c>
      <c r="AG57">
        <v>0</v>
      </c>
      <c r="AH57">
        <v>14</v>
      </c>
      <c r="AI57">
        <v>3</v>
      </c>
      <c r="AJ57">
        <v>1</v>
      </c>
      <c r="AK57">
        <v>80</v>
      </c>
      <c r="AL57">
        <v>1</v>
      </c>
      <c r="AM57">
        <v>34</v>
      </c>
      <c r="AN57">
        <v>3</v>
      </c>
      <c r="AO57">
        <v>33</v>
      </c>
      <c r="AP57">
        <v>18</v>
      </c>
      <c r="AQ57">
        <v>11</v>
      </c>
      <c r="AR57">
        <v>9</v>
      </c>
    </row>
    <row r="58" spans="1:44" x14ac:dyDescent="0.25">
      <c r="A58" t="s">
        <v>43</v>
      </c>
      <c r="B58" t="s">
        <v>90</v>
      </c>
      <c r="C58" t="s">
        <v>37</v>
      </c>
      <c r="D58" t="s">
        <v>91</v>
      </c>
      <c r="E58" t="s">
        <v>33</v>
      </c>
      <c r="F58" t="s">
        <v>110</v>
      </c>
      <c r="G58" t="s">
        <v>155</v>
      </c>
      <c r="H58">
        <v>363</v>
      </c>
      <c r="I58" t="s">
        <v>12</v>
      </c>
      <c r="J58" t="s">
        <v>23</v>
      </c>
      <c r="K58" t="s">
        <v>41</v>
      </c>
      <c r="L58" t="s">
        <v>44</v>
      </c>
      <c r="M58" t="s">
        <v>94</v>
      </c>
      <c r="N58">
        <v>2</v>
      </c>
      <c r="O58">
        <v>-2</v>
      </c>
      <c r="P58">
        <v>0</v>
      </c>
      <c r="Q58">
        <v>46</v>
      </c>
      <c r="R58">
        <v>0</v>
      </c>
      <c r="T58">
        <v>0</v>
      </c>
      <c r="U58">
        <v>1</v>
      </c>
      <c r="V58">
        <v>488</v>
      </c>
      <c r="W58">
        <v>2</v>
      </c>
      <c r="X58" t="s">
        <v>16</v>
      </c>
      <c r="Y58">
        <v>1</v>
      </c>
      <c r="Z58">
        <v>4</v>
      </c>
      <c r="AA58">
        <v>75</v>
      </c>
      <c r="AB58">
        <v>1</v>
      </c>
      <c r="AC58">
        <v>4</v>
      </c>
      <c r="AD58">
        <v>4</v>
      </c>
      <c r="AE58">
        <v>16872</v>
      </c>
      <c r="AF58">
        <v>14977</v>
      </c>
      <c r="AG58">
        <v>3</v>
      </c>
      <c r="AH58">
        <v>12</v>
      </c>
      <c r="AI58">
        <v>3</v>
      </c>
      <c r="AJ58">
        <v>2</v>
      </c>
      <c r="AK58">
        <v>80</v>
      </c>
      <c r="AL58">
        <v>1</v>
      </c>
      <c r="AM58">
        <v>28</v>
      </c>
      <c r="AN58">
        <v>2</v>
      </c>
      <c r="AO58">
        <v>7</v>
      </c>
      <c r="AP58">
        <v>7</v>
      </c>
      <c r="AQ58">
        <v>7</v>
      </c>
      <c r="AR58">
        <v>7</v>
      </c>
    </row>
    <row r="59" spans="1:44" x14ac:dyDescent="0.25">
      <c r="A59" t="s">
        <v>43</v>
      </c>
      <c r="B59" t="s">
        <v>90</v>
      </c>
      <c r="C59" t="s">
        <v>36</v>
      </c>
      <c r="D59" t="s">
        <v>91</v>
      </c>
      <c r="E59" t="s">
        <v>32</v>
      </c>
      <c r="F59" t="s">
        <v>92</v>
      </c>
      <c r="G59" t="s">
        <v>156</v>
      </c>
      <c r="H59">
        <v>381</v>
      </c>
      <c r="I59" t="s">
        <v>12</v>
      </c>
      <c r="J59" t="s">
        <v>23</v>
      </c>
      <c r="K59" t="s">
        <v>40</v>
      </c>
      <c r="L59" t="s">
        <v>43</v>
      </c>
      <c r="M59" t="s">
        <v>94</v>
      </c>
      <c r="N59">
        <v>6</v>
      </c>
      <c r="O59">
        <v>-2</v>
      </c>
      <c r="P59">
        <v>0</v>
      </c>
      <c r="Q59">
        <v>35</v>
      </c>
      <c r="R59">
        <v>0</v>
      </c>
      <c r="T59">
        <v>0</v>
      </c>
      <c r="U59">
        <v>1</v>
      </c>
      <c r="V59">
        <v>1315</v>
      </c>
      <c r="W59">
        <v>22</v>
      </c>
      <c r="X59" t="s">
        <v>16</v>
      </c>
      <c r="Y59">
        <v>1</v>
      </c>
      <c r="Z59">
        <v>2</v>
      </c>
      <c r="AA59">
        <v>71</v>
      </c>
      <c r="AB59">
        <v>4</v>
      </c>
      <c r="AC59">
        <v>3</v>
      </c>
      <c r="AD59">
        <v>2</v>
      </c>
      <c r="AE59">
        <v>11996</v>
      </c>
      <c r="AF59">
        <v>19100</v>
      </c>
      <c r="AG59">
        <v>7</v>
      </c>
      <c r="AH59">
        <v>18</v>
      </c>
      <c r="AI59">
        <v>3</v>
      </c>
      <c r="AJ59">
        <v>2</v>
      </c>
      <c r="AK59">
        <v>80</v>
      </c>
      <c r="AL59">
        <v>1</v>
      </c>
      <c r="AM59">
        <v>10</v>
      </c>
      <c r="AN59">
        <v>2</v>
      </c>
      <c r="AO59">
        <v>7</v>
      </c>
      <c r="AP59">
        <v>7</v>
      </c>
      <c r="AQ59">
        <v>6</v>
      </c>
      <c r="AR59">
        <v>2</v>
      </c>
    </row>
    <row r="60" spans="1:44" x14ac:dyDescent="0.25">
      <c r="A60" t="s">
        <v>43</v>
      </c>
      <c r="B60" t="s">
        <v>90</v>
      </c>
      <c r="C60" t="s">
        <v>37</v>
      </c>
      <c r="D60" t="s">
        <v>91</v>
      </c>
      <c r="E60" t="s">
        <v>32</v>
      </c>
      <c r="F60" t="s">
        <v>92</v>
      </c>
      <c r="G60" t="s">
        <v>157</v>
      </c>
      <c r="H60">
        <v>569</v>
      </c>
      <c r="I60" t="s">
        <v>13</v>
      </c>
      <c r="J60" t="s">
        <v>23</v>
      </c>
      <c r="K60" t="s">
        <v>41</v>
      </c>
      <c r="L60" t="s">
        <v>43</v>
      </c>
      <c r="M60" t="s">
        <v>94</v>
      </c>
      <c r="N60">
        <v>2</v>
      </c>
      <c r="O60">
        <v>-2</v>
      </c>
      <c r="P60">
        <v>0</v>
      </c>
      <c r="Q60">
        <v>50</v>
      </c>
      <c r="R60">
        <v>0</v>
      </c>
      <c r="T60">
        <v>0</v>
      </c>
      <c r="U60">
        <v>1</v>
      </c>
      <c r="V60">
        <v>1099</v>
      </c>
      <c r="W60">
        <v>29</v>
      </c>
      <c r="X60" t="s">
        <v>19</v>
      </c>
      <c r="Y60">
        <v>1</v>
      </c>
      <c r="Z60">
        <v>2</v>
      </c>
      <c r="AA60">
        <v>88</v>
      </c>
      <c r="AB60">
        <v>2</v>
      </c>
      <c r="AC60">
        <v>4</v>
      </c>
      <c r="AD60">
        <v>2</v>
      </c>
      <c r="AE60">
        <v>17046</v>
      </c>
      <c r="AF60">
        <v>9314</v>
      </c>
      <c r="AG60">
        <v>0</v>
      </c>
      <c r="AH60">
        <v>15</v>
      </c>
      <c r="AI60">
        <v>3</v>
      </c>
      <c r="AJ60">
        <v>2</v>
      </c>
      <c r="AK60">
        <v>80</v>
      </c>
      <c r="AL60">
        <v>1</v>
      </c>
      <c r="AM60">
        <v>28</v>
      </c>
      <c r="AN60">
        <v>3</v>
      </c>
      <c r="AO60">
        <v>27</v>
      </c>
      <c r="AP60">
        <v>10</v>
      </c>
      <c r="AQ60">
        <v>15</v>
      </c>
      <c r="AR60">
        <v>7</v>
      </c>
    </row>
    <row r="61" spans="1:44" x14ac:dyDescent="0.25">
      <c r="A61" t="s">
        <v>43</v>
      </c>
      <c r="B61" t="s">
        <v>90</v>
      </c>
      <c r="C61" t="s">
        <v>36</v>
      </c>
      <c r="D61" t="s">
        <v>91</v>
      </c>
      <c r="E61" t="s">
        <v>31</v>
      </c>
      <c r="F61" t="s">
        <v>21</v>
      </c>
      <c r="G61" t="s">
        <v>158</v>
      </c>
      <c r="H61">
        <v>731</v>
      </c>
      <c r="I61" t="s">
        <v>13</v>
      </c>
      <c r="J61" t="s">
        <v>23</v>
      </c>
      <c r="K61" t="s">
        <v>40</v>
      </c>
      <c r="L61" t="s">
        <v>43</v>
      </c>
      <c r="M61" t="s">
        <v>94</v>
      </c>
      <c r="N61">
        <v>2</v>
      </c>
      <c r="O61">
        <v>-2</v>
      </c>
      <c r="P61">
        <v>0</v>
      </c>
      <c r="Q61">
        <v>41</v>
      </c>
      <c r="R61">
        <v>0</v>
      </c>
      <c r="T61">
        <v>0</v>
      </c>
      <c r="U61">
        <v>1</v>
      </c>
      <c r="V61">
        <v>427</v>
      </c>
      <c r="W61">
        <v>10</v>
      </c>
      <c r="X61" t="s">
        <v>19</v>
      </c>
      <c r="Y61">
        <v>1</v>
      </c>
      <c r="Z61">
        <v>2</v>
      </c>
      <c r="AA61">
        <v>73</v>
      </c>
      <c r="AB61">
        <v>2</v>
      </c>
      <c r="AC61">
        <v>5</v>
      </c>
      <c r="AD61">
        <v>4</v>
      </c>
      <c r="AE61">
        <v>19141</v>
      </c>
      <c r="AF61">
        <v>8861</v>
      </c>
      <c r="AG61">
        <v>3</v>
      </c>
      <c r="AH61">
        <v>15</v>
      </c>
      <c r="AI61">
        <v>3</v>
      </c>
      <c r="AJ61">
        <v>2</v>
      </c>
      <c r="AK61">
        <v>80</v>
      </c>
      <c r="AL61">
        <v>3</v>
      </c>
      <c r="AM61">
        <v>23</v>
      </c>
      <c r="AN61">
        <v>2</v>
      </c>
      <c r="AO61">
        <v>21</v>
      </c>
      <c r="AP61">
        <v>6</v>
      </c>
      <c r="AQ61">
        <v>12</v>
      </c>
      <c r="AR61">
        <v>6</v>
      </c>
    </row>
    <row r="62" spans="1:44" x14ac:dyDescent="0.25">
      <c r="A62" t="s">
        <v>43</v>
      </c>
      <c r="B62" t="s">
        <v>90</v>
      </c>
      <c r="C62" t="s">
        <v>36</v>
      </c>
      <c r="D62" t="s">
        <v>91</v>
      </c>
      <c r="E62" t="s">
        <v>32</v>
      </c>
      <c r="F62" t="s">
        <v>95</v>
      </c>
      <c r="G62" t="s">
        <v>159</v>
      </c>
      <c r="H62">
        <v>1307</v>
      </c>
      <c r="I62" t="s">
        <v>12</v>
      </c>
      <c r="J62" t="s">
        <v>23</v>
      </c>
      <c r="K62" t="s">
        <v>40</v>
      </c>
      <c r="L62" t="s">
        <v>44</v>
      </c>
      <c r="M62" t="s">
        <v>94</v>
      </c>
      <c r="N62">
        <v>4</v>
      </c>
      <c r="O62">
        <v>-2</v>
      </c>
      <c r="P62">
        <v>0</v>
      </c>
      <c r="Q62">
        <v>39</v>
      </c>
      <c r="R62">
        <v>0</v>
      </c>
      <c r="T62">
        <v>0</v>
      </c>
      <c r="U62">
        <v>1</v>
      </c>
      <c r="V62">
        <v>412</v>
      </c>
      <c r="W62">
        <v>13</v>
      </c>
      <c r="X62" t="s">
        <v>19</v>
      </c>
      <c r="Y62">
        <v>1</v>
      </c>
      <c r="Z62">
        <v>3</v>
      </c>
      <c r="AA62">
        <v>94</v>
      </c>
      <c r="AB62">
        <v>2</v>
      </c>
      <c r="AC62">
        <v>4</v>
      </c>
      <c r="AD62">
        <v>2</v>
      </c>
      <c r="AE62">
        <v>17123</v>
      </c>
      <c r="AF62">
        <v>17334</v>
      </c>
      <c r="AG62">
        <v>6</v>
      </c>
      <c r="AH62">
        <v>13</v>
      </c>
      <c r="AI62">
        <v>3</v>
      </c>
      <c r="AJ62">
        <v>4</v>
      </c>
      <c r="AK62">
        <v>80</v>
      </c>
      <c r="AL62">
        <v>2</v>
      </c>
      <c r="AM62">
        <v>21</v>
      </c>
      <c r="AN62">
        <v>3</v>
      </c>
      <c r="AO62">
        <v>19</v>
      </c>
      <c r="AP62">
        <v>9</v>
      </c>
      <c r="AQ62">
        <v>15</v>
      </c>
      <c r="AR62">
        <v>2</v>
      </c>
    </row>
    <row r="63" spans="1:44" x14ac:dyDescent="0.25">
      <c r="A63" t="s">
        <v>43</v>
      </c>
      <c r="B63" t="s">
        <v>90</v>
      </c>
      <c r="C63" t="s">
        <v>38</v>
      </c>
      <c r="D63" t="s">
        <v>91</v>
      </c>
      <c r="E63" t="s">
        <v>32</v>
      </c>
      <c r="F63" t="s">
        <v>95</v>
      </c>
      <c r="G63" t="s">
        <v>160</v>
      </c>
      <c r="H63">
        <v>1336</v>
      </c>
      <c r="I63" t="s">
        <v>12</v>
      </c>
      <c r="J63" t="s">
        <v>23</v>
      </c>
      <c r="K63" t="s">
        <v>41</v>
      </c>
      <c r="L63" t="s">
        <v>43</v>
      </c>
      <c r="M63" t="s">
        <v>94</v>
      </c>
      <c r="N63">
        <v>5</v>
      </c>
      <c r="O63">
        <v>-2</v>
      </c>
      <c r="P63">
        <v>0</v>
      </c>
      <c r="Q63">
        <v>55</v>
      </c>
      <c r="R63">
        <v>0</v>
      </c>
      <c r="T63">
        <v>0</v>
      </c>
      <c r="U63">
        <v>1</v>
      </c>
      <c r="V63">
        <v>282</v>
      </c>
      <c r="W63">
        <v>2</v>
      </c>
      <c r="X63" t="s">
        <v>15</v>
      </c>
      <c r="Y63">
        <v>1</v>
      </c>
      <c r="Z63">
        <v>4</v>
      </c>
      <c r="AA63">
        <v>58</v>
      </c>
      <c r="AB63">
        <v>1</v>
      </c>
      <c r="AC63">
        <v>5</v>
      </c>
      <c r="AD63">
        <v>3</v>
      </c>
      <c r="AE63">
        <v>19187</v>
      </c>
      <c r="AF63">
        <v>6992</v>
      </c>
      <c r="AG63">
        <v>4</v>
      </c>
      <c r="AH63">
        <v>14</v>
      </c>
      <c r="AI63">
        <v>3</v>
      </c>
      <c r="AJ63">
        <v>4</v>
      </c>
      <c r="AK63">
        <v>80</v>
      </c>
      <c r="AL63">
        <v>1</v>
      </c>
      <c r="AM63">
        <v>23</v>
      </c>
      <c r="AN63">
        <v>3</v>
      </c>
      <c r="AO63">
        <v>19</v>
      </c>
      <c r="AP63">
        <v>9</v>
      </c>
      <c r="AQ63">
        <v>9</v>
      </c>
      <c r="AR63">
        <v>11</v>
      </c>
    </row>
    <row r="64" spans="1:44" x14ac:dyDescent="0.25">
      <c r="A64" t="s">
        <v>43</v>
      </c>
      <c r="B64" t="s">
        <v>90</v>
      </c>
      <c r="C64" t="s">
        <v>36</v>
      </c>
      <c r="D64" t="s">
        <v>91</v>
      </c>
      <c r="E64" t="s">
        <v>32</v>
      </c>
      <c r="F64" t="s">
        <v>95</v>
      </c>
      <c r="G64" t="s">
        <v>161</v>
      </c>
      <c r="H64">
        <v>1866</v>
      </c>
      <c r="I64" t="s">
        <v>12</v>
      </c>
      <c r="J64" t="s">
        <v>23</v>
      </c>
      <c r="K64" t="s">
        <v>41</v>
      </c>
      <c r="L64" t="s">
        <v>43</v>
      </c>
      <c r="M64" t="s">
        <v>94</v>
      </c>
      <c r="N64">
        <v>2</v>
      </c>
      <c r="O64">
        <v>-2</v>
      </c>
      <c r="P64">
        <v>0</v>
      </c>
      <c r="Q64">
        <v>43</v>
      </c>
      <c r="R64">
        <v>0</v>
      </c>
      <c r="T64">
        <v>0</v>
      </c>
      <c r="U64">
        <v>1</v>
      </c>
      <c r="V64">
        <v>823</v>
      </c>
      <c r="W64">
        <v>6</v>
      </c>
      <c r="X64" t="s">
        <v>16</v>
      </c>
      <c r="Y64">
        <v>1</v>
      </c>
      <c r="Z64">
        <v>1</v>
      </c>
      <c r="AA64">
        <v>81</v>
      </c>
      <c r="AB64">
        <v>2</v>
      </c>
      <c r="AC64">
        <v>5</v>
      </c>
      <c r="AD64">
        <v>3</v>
      </c>
      <c r="AE64">
        <v>19392</v>
      </c>
      <c r="AF64">
        <v>22539</v>
      </c>
      <c r="AG64">
        <v>7</v>
      </c>
      <c r="AH64">
        <v>13</v>
      </c>
      <c r="AI64">
        <v>3</v>
      </c>
      <c r="AJ64">
        <v>4</v>
      </c>
      <c r="AK64">
        <v>80</v>
      </c>
      <c r="AL64">
        <v>0</v>
      </c>
      <c r="AM64">
        <v>21</v>
      </c>
      <c r="AN64">
        <v>3</v>
      </c>
      <c r="AO64">
        <v>16</v>
      </c>
      <c r="AP64">
        <v>12</v>
      </c>
      <c r="AQ64">
        <v>6</v>
      </c>
      <c r="AR64">
        <v>14</v>
      </c>
    </row>
    <row r="65" spans="1:44" x14ac:dyDescent="0.25">
      <c r="A65" t="s">
        <v>44</v>
      </c>
      <c r="B65" t="s">
        <v>90</v>
      </c>
      <c r="C65" t="s">
        <v>35</v>
      </c>
      <c r="D65" t="s">
        <v>130</v>
      </c>
      <c r="E65" t="s">
        <v>32</v>
      </c>
      <c r="F65" t="s">
        <v>95</v>
      </c>
      <c r="G65" t="s">
        <v>162</v>
      </c>
      <c r="H65">
        <v>582</v>
      </c>
      <c r="I65" t="s">
        <v>13</v>
      </c>
      <c r="J65" t="s">
        <v>23</v>
      </c>
      <c r="K65" t="s">
        <v>41</v>
      </c>
      <c r="L65" t="s">
        <v>44</v>
      </c>
      <c r="M65" t="s">
        <v>94</v>
      </c>
      <c r="N65">
        <v>2</v>
      </c>
      <c r="O65">
        <v>-2</v>
      </c>
      <c r="P65">
        <v>0</v>
      </c>
      <c r="Q65">
        <v>33</v>
      </c>
      <c r="R65">
        <v>1</v>
      </c>
      <c r="S65">
        <v>1</v>
      </c>
      <c r="T65">
        <v>1</v>
      </c>
      <c r="U65">
        <v>0</v>
      </c>
      <c r="V65">
        <v>1277</v>
      </c>
      <c r="W65">
        <v>15</v>
      </c>
      <c r="X65" t="s">
        <v>18</v>
      </c>
      <c r="Y65">
        <v>1</v>
      </c>
      <c r="Z65">
        <v>2</v>
      </c>
      <c r="AA65">
        <v>56</v>
      </c>
      <c r="AB65">
        <v>3</v>
      </c>
      <c r="AC65">
        <v>3</v>
      </c>
      <c r="AD65">
        <v>3</v>
      </c>
      <c r="AE65">
        <v>13610</v>
      </c>
      <c r="AF65">
        <v>24619</v>
      </c>
      <c r="AG65">
        <v>7</v>
      </c>
      <c r="AH65">
        <v>12</v>
      </c>
      <c r="AI65">
        <v>3</v>
      </c>
      <c r="AJ65">
        <v>4</v>
      </c>
      <c r="AK65">
        <v>80</v>
      </c>
      <c r="AL65">
        <v>0</v>
      </c>
      <c r="AM65">
        <v>15</v>
      </c>
      <c r="AN65">
        <v>4</v>
      </c>
      <c r="AO65">
        <v>7</v>
      </c>
      <c r="AP65">
        <v>6</v>
      </c>
      <c r="AQ65">
        <v>7</v>
      </c>
      <c r="AR65">
        <v>7</v>
      </c>
    </row>
    <row r="66" spans="1:44" x14ac:dyDescent="0.25">
      <c r="A66" t="s">
        <v>43</v>
      </c>
      <c r="B66" t="s">
        <v>90</v>
      </c>
      <c r="C66" t="s">
        <v>37</v>
      </c>
      <c r="D66" t="s">
        <v>91</v>
      </c>
      <c r="E66" t="s">
        <v>32</v>
      </c>
      <c r="F66" t="s">
        <v>118</v>
      </c>
      <c r="G66" t="s">
        <v>163</v>
      </c>
      <c r="H66">
        <v>32</v>
      </c>
      <c r="I66" t="s">
        <v>12</v>
      </c>
      <c r="J66" t="s">
        <v>23</v>
      </c>
      <c r="K66" t="s">
        <v>40</v>
      </c>
      <c r="L66" t="s">
        <v>43</v>
      </c>
      <c r="M66" t="s">
        <v>94</v>
      </c>
      <c r="N66">
        <v>3</v>
      </c>
      <c r="O66">
        <v>-2</v>
      </c>
      <c r="P66">
        <v>0</v>
      </c>
      <c r="Q66">
        <v>53</v>
      </c>
      <c r="R66">
        <v>0</v>
      </c>
      <c r="T66">
        <v>0</v>
      </c>
      <c r="U66">
        <v>1</v>
      </c>
      <c r="V66">
        <v>1282</v>
      </c>
      <c r="W66">
        <v>5</v>
      </c>
      <c r="X66" t="s">
        <v>16</v>
      </c>
      <c r="Y66">
        <v>1</v>
      </c>
      <c r="Z66">
        <v>3</v>
      </c>
      <c r="AA66">
        <v>58</v>
      </c>
      <c r="AB66">
        <v>3</v>
      </c>
      <c r="AC66">
        <v>5</v>
      </c>
      <c r="AD66">
        <v>3</v>
      </c>
      <c r="AE66">
        <v>19094</v>
      </c>
      <c r="AF66">
        <v>10735</v>
      </c>
      <c r="AG66">
        <v>4</v>
      </c>
      <c r="AH66">
        <v>11</v>
      </c>
      <c r="AI66">
        <v>3</v>
      </c>
      <c r="AJ66">
        <v>4</v>
      </c>
      <c r="AK66">
        <v>80</v>
      </c>
      <c r="AL66">
        <v>1</v>
      </c>
      <c r="AM66">
        <v>26</v>
      </c>
      <c r="AN66">
        <v>2</v>
      </c>
      <c r="AO66">
        <v>14</v>
      </c>
      <c r="AP66">
        <v>13</v>
      </c>
      <c r="AQ66">
        <v>4</v>
      </c>
      <c r="AR66">
        <v>8</v>
      </c>
    </row>
    <row r="67" spans="1:44" x14ac:dyDescent="0.25">
      <c r="A67" t="s">
        <v>43</v>
      </c>
      <c r="B67" t="s">
        <v>90</v>
      </c>
      <c r="C67" t="s">
        <v>37</v>
      </c>
      <c r="D67" t="s">
        <v>91</v>
      </c>
      <c r="E67" t="s">
        <v>33</v>
      </c>
      <c r="F67" t="s">
        <v>97</v>
      </c>
      <c r="G67" t="s">
        <v>164</v>
      </c>
      <c r="H67">
        <v>38</v>
      </c>
      <c r="I67" t="s">
        <v>12</v>
      </c>
      <c r="J67" t="s">
        <v>23</v>
      </c>
      <c r="K67" t="s">
        <v>42</v>
      </c>
      <c r="L67" t="s">
        <v>43</v>
      </c>
      <c r="M67" t="s">
        <v>94</v>
      </c>
      <c r="N67">
        <v>2</v>
      </c>
      <c r="O67">
        <v>-2</v>
      </c>
      <c r="P67">
        <v>0</v>
      </c>
      <c r="Q67">
        <v>46</v>
      </c>
      <c r="R67">
        <v>0</v>
      </c>
      <c r="T67">
        <v>0</v>
      </c>
      <c r="U67">
        <v>1</v>
      </c>
      <c r="V67">
        <v>705</v>
      </c>
      <c r="W67">
        <v>2</v>
      </c>
      <c r="X67" t="s">
        <v>19</v>
      </c>
      <c r="Y67">
        <v>1</v>
      </c>
      <c r="Z67">
        <v>2</v>
      </c>
      <c r="AA67">
        <v>83</v>
      </c>
      <c r="AB67">
        <v>3</v>
      </c>
      <c r="AC67">
        <v>5</v>
      </c>
      <c r="AD67">
        <v>4</v>
      </c>
      <c r="AE67">
        <v>18947</v>
      </c>
      <c r="AF67">
        <v>22822</v>
      </c>
      <c r="AG67">
        <v>3</v>
      </c>
      <c r="AH67">
        <v>12</v>
      </c>
      <c r="AI67">
        <v>3</v>
      </c>
      <c r="AJ67">
        <v>4</v>
      </c>
      <c r="AK67">
        <v>80</v>
      </c>
      <c r="AL67">
        <v>0</v>
      </c>
      <c r="AM67">
        <v>22</v>
      </c>
      <c r="AN67">
        <v>2</v>
      </c>
      <c r="AO67">
        <v>2</v>
      </c>
      <c r="AP67">
        <v>2</v>
      </c>
      <c r="AQ67">
        <v>2</v>
      </c>
      <c r="AR67">
        <v>1</v>
      </c>
    </row>
    <row r="68" spans="1:44" x14ac:dyDescent="0.25">
      <c r="A68" t="s">
        <v>43</v>
      </c>
      <c r="B68" t="s">
        <v>90</v>
      </c>
      <c r="C68" t="s">
        <v>37</v>
      </c>
      <c r="D68" t="s">
        <v>91</v>
      </c>
      <c r="E68" t="s">
        <v>32</v>
      </c>
      <c r="F68" t="s">
        <v>92</v>
      </c>
      <c r="G68" t="s">
        <v>165</v>
      </c>
      <c r="H68">
        <v>226</v>
      </c>
      <c r="I68" t="s">
        <v>12</v>
      </c>
      <c r="J68" t="s">
        <v>23</v>
      </c>
      <c r="K68" t="s">
        <v>42</v>
      </c>
      <c r="L68" t="s">
        <v>43</v>
      </c>
      <c r="M68" t="s">
        <v>94</v>
      </c>
      <c r="N68">
        <v>5</v>
      </c>
      <c r="O68">
        <v>-2</v>
      </c>
      <c r="P68">
        <v>0</v>
      </c>
      <c r="Q68">
        <v>50</v>
      </c>
      <c r="R68">
        <v>0</v>
      </c>
      <c r="T68">
        <v>0</v>
      </c>
      <c r="U68">
        <v>1</v>
      </c>
      <c r="V68">
        <v>1452</v>
      </c>
      <c r="W68">
        <v>11</v>
      </c>
      <c r="X68" t="s">
        <v>16</v>
      </c>
      <c r="Y68">
        <v>1</v>
      </c>
      <c r="Z68">
        <v>3</v>
      </c>
      <c r="AA68">
        <v>53</v>
      </c>
      <c r="AB68">
        <v>3</v>
      </c>
      <c r="AC68">
        <v>5</v>
      </c>
      <c r="AD68">
        <v>2</v>
      </c>
      <c r="AE68">
        <v>19926</v>
      </c>
      <c r="AF68">
        <v>17053</v>
      </c>
      <c r="AG68">
        <v>3</v>
      </c>
      <c r="AH68">
        <v>15</v>
      </c>
      <c r="AI68">
        <v>3</v>
      </c>
      <c r="AJ68">
        <v>2</v>
      </c>
      <c r="AK68">
        <v>80</v>
      </c>
      <c r="AL68">
        <v>0</v>
      </c>
      <c r="AM68">
        <v>21</v>
      </c>
      <c r="AN68">
        <v>3</v>
      </c>
      <c r="AO68">
        <v>5</v>
      </c>
      <c r="AP68">
        <v>4</v>
      </c>
      <c r="AQ68">
        <v>4</v>
      </c>
      <c r="AR68">
        <v>4</v>
      </c>
    </row>
    <row r="69" spans="1:44" x14ac:dyDescent="0.25">
      <c r="A69" t="s">
        <v>43</v>
      </c>
      <c r="B69" t="s">
        <v>90</v>
      </c>
      <c r="C69" t="s">
        <v>38</v>
      </c>
      <c r="D69" t="s">
        <v>91</v>
      </c>
      <c r="E69" t="s">
        <v>32</v>
      </c>
      <c r="F69" t="s">
        <v>95</v>
      </c>
      <c r="G69" t="s">
        <v>166</v>
      </c>
      <c r="H69">
        <v>374</v>
      </c>
      <c r="I69" t="s">
        <v>13</v>
      </c>
      <c r="J69" t="s">
        <v>23</v>
      </c>
      <c r="K69" t="s">
        <v>42</v>
      </c>
      <c r="L69" t="s">
        <v>44</v>
      </c>
      <c r="M69" t="s">
        <v>94</v>
      </c>
      <c r="N69">
        <v>2</v>
      </c>
      <c r="O69">
        <v>-2</v>
      </c>
      <c r="P69">
        <v>0</v>
      </c>
      <c r="Q69">
        <v>55</v>
      </c>
      <c r="R69">
        <v>0</v>
      </c>
      <c r="T69">
        <v>0</v>
      </c>
      <c r="U69">
        <v>1</v>
      </c>
      <c r="V69">
        <v>452</v>
      </c>
      <c r="W69">
        <v>1</v>
      </c>
      <c r="X69" t="s">
        <v>16</v>
      </c>
      <c r="Y69">
        <v>1</v>
      </c>
      <c r="Z69">
        <v>4</v>
      </c>
      <c r="AA69">
        <v>81</v>
      </c>
      <c r="AB69">
        <v>3</v>
      </c>
      <c r="AC69">
        <v>5</v>
      </c>
      <c r="AD69">
        <v>3</v>
      </c>
      <c r="AE69">
        <v>19045</v>
      </c>
      <c r="AF69">
        <v>18938</v>
      </c>
      <c r="AG69">
        <v>0</v>
      </c>
      <c r="AH69">
        <v>14</v>
      </c>
      <c r="AI69">
        <v>3</v>
      </c>
      <c r="AJ69">
        <v>3</v>
      </c>
      <c r="AK69">
        <v>80</v>
      </c>
      <c r="AL69">
        <v>0</v>
      </c>
      <c r="AM69">
        <v>37</v>
      </c>
      <c r="AN69">
        <v>3</v>
      </c>
      <c r="AO69">
        <v>36</v>
      </c>
      <c r="AP69">
        <v>10</v>
      </c>
      <c r="AQ69">
        <v>4</v>
      </c>
      <c r="AR69">
        <v>13</v>
      </c>
    </row>
    <row r="70" spans="1:44" x14ac:dyDescent="0.25">
      <c r="A70" t="s">
        <v>43</v>
      </c>
      <c r="B70" t="s">
        <v>90</v>
      </c>
      <c r="C70" t="s">
        <v>38</v>
      </c>
      <c r="D70" t="s">
        <v>91</v>
      </c>
      <c r="E70" t="s">
        <v>32</v>
      </c>
      <c r="F70" t="s">
        <v>92</v>
      </c>
      <c r="G70" t="s">
        <v>167</v>
      </c>
      <c r="H70">
        <v>549</v>
      </c>
      <c r="I70" t="s">
        <v>12</v>
      </c>
      <c r="J70" t="s">
        <v>23</v>
      </c>
      <c r="K70" t="s">
        <v>41</v>
      </c>
      <c r="L70" t="s">
        <v>43</v>
      </c>
      <c r="M70" t="s">
        <v>94</v>
      </c>
      <c r="N70">
        <v>5</v>
      </c>
      <c r="O70">
        <v>-2</v>
      </c>
      <c r="P70">
        <v>0</v>
      </c>
      <c r="Q70">
        <v>60</v>
      </c>
      <c r="R70">
        <v>0</v>
      </c>
      <c r="T70">
        <v>0</v>
      </c>
      <c r="U70">
        <v>1</v>
      </c>
      <c r="V70">
        <v>422</v>
      </c>
      <c r="W70">
        <v>7</v>
      </c>
      <c r="X70" t="s">
        <v>16</v>
      </c>
      <c r="Y70">
        <v>1</v>
      </c>
      <c r="Z70">
        <v>1</v>
      </c>
      <c r="AA70">
        <v>41</v>
      </c>
      <c r="AB70">
        <v>3</v>
      </c>
      <c r="AC70">
        <v>5</v>
      </c>
      <c r="AD70">
        <v>2</v>
      </c>
      <c r="AE70">
        <v>19566</v>
      </c>
      <c r="AF70">
        <v>3854</v>
      </c>
      <c r="AG70">
        <v>5</v>
      </c>
      <c r="AH70">
        <v>11</v>
      </c>
      <c r="AI70">
        <v>3</v>
      </c>
      <c r="AJ70">
        <v>4</v>
      </c>
      <c r="AK70">
        <v>80</v>
      </c>
      <c r="AL70">
        <v>0</v>
      </c>
      <c r="AM70">
        <v>33</v>
      </c>
      <c r="AN70">
        <v>1</v>
      </c>
      <c r="AO70">
        <v>29</v>
      </c>
      <c r="AP70">
        <v>8</v>
      </c>
      <c r="AQ70">
        <v>11</v>
      </c>
      <c r="AR70">
        <v>10</v>
      </c>
    </row>
    <row r="71" spans="1:44" x14ac:dyDescent="0.25">
      <c r="A71" t="s">
        <v>43</v>
      </c>
      <c r="B71" t="s">
        <v>90</v>
      </c>
      <c r="C71" t="s">
        <v>38</v>
      </c>
      <c r="D71" t="s">
        <v>91</v>
      </c>
      <c r="E71" t="s">
        <v>33</v>
      </c>
      <c r="F71" t="s">
        <v>92</v>
      </c>
      <c r="G71" t="s">
        <v>168</v>
      </c>
      <c r="H71">
        <v>597</v>
      </c>
      <c r="I71" t="s">
        <v>12</v>
      </c>
      <c r="J71" t="s">
        <v>23</v>
      </c>
      <c r="K71" t="s">
        <v>42</v>
      </c>
      <c r="L71" t="s">
        <v>43</v>
      </c>
      <c r="M71" t="s">
        <v>94</v>
      </c>
      <c r="N71">
        <v>2</v>
      </c>
      <c r="O71">
        <v>-2</v>
      </c>
      <c r="P71">
        <v>0</v>
      </c>
      <c r="Q71">
        <v>55</v>
      </c>
      <c r="R71">
        <v>0</v>
      </c>
      <c r="T71">
        <v>0</v>
      </c>
      <c r="U71">
        <v>1</v>
      </c>
      <c r="V71">
        <v>1117</v>
      </c>
      <c r="W71">
        <v>18</v>
      </c>
      <c r="X71" t="s">
        <v>17</v>
      </c>
      <c r="Y71">
        <v>1</v>
      </c>
      <c r="Z71">
        <v>1</v>
      </c>
      <c r="AA71">
        <v>83</v>
      </c>
      <c r="AB71">
        <v>3</v>
      </c>
      <c r="AC71">
        <v>4</v>
      </c>
      <c r="AD71">
        <v>2</v>
      </c>
      <c r="AE71">
        <v>16835</v>
      </c>
      <c r="AF71">
        <v>9873</v>
      </c>
      <c r="AG71">
        <v>3</v>
      </c>
      <c r="AH71">
        <v>23</v>
      </c>
      <c r="AI71">
        <v>4</v>
      </c>
      <c r="AJ71">
        <v>4</v>
      </c>
      <c r="AK71">
        <v>80</v>
      </c>
      <c r="AL71">
        <v>0</v>
      </c>
      <c r="AM71">
        <v>37</v>
      </c>
      <c r="AN71">
        <v>3</v>
      </c>
      <c r="AO71">
        <v>10</v>
      </c>
      <c r="AP71">
        <v>9</v>
      </c>
      <c r="AQ71">
        <v>7</v>
      </c>
      <c r="AR71">
        <v>7</v>
      </c>
    </row>
    <row r="72" spans="1:44" x14ac:dyDescent="0.25">
      <c r="A72" t="s">
        <v>43</v>
      </c>
      <c r="B72" t="s">
        <v>90</v>
      </c>
      <c r="C72" t="s">
        <v>36</v>
      </c>
      <c r="D72" t="s">
        <v>91</v>
      </c>
      <c r="E72" t="s">
        <v>33</v>
      </c>
      <c r="F72" t="s">
        <v>92</v>
      </c>
      <c r="G72" t="s">
        <v>169</v>
      </c>
      <c r="H72">
        <v>625</v>
      </c>
      <c r="I72" t="s">
        <v>12</v>
      </c>
      <c r="J72" t="s">
        <v>23</v>
      </c>
      <c r="K72" t="s">
        <v>41</v>
      </c>
      <c r="L72" t="s">
        <v>43</v>
      </c>
      <c r="M72" t="s">
        <v>94</v>
      </c>
      <c r="N72">
        <v>2</v>
      </c>
      <c r="O72">
        <v>-2</v>
      </c>
      <c r="P72">
        <v>0</v>
      </c>
      <c r="Q72">
        <v>41</v>
      </c>
      <c r="R72">
        <v>0</v>
      </c>
      <c r="T72">
        <v>0</v>
      </c>
      <c r="U72">
        <v>1</v>
      </c>
      <c r="V72">
        <v>1276</v>
      </c>
      <c r="W72">
        <v>2</v>
      </c>
      <c r="X72" t="s">
        <v>17</v>
      </c>
      <c r="Y72">
        <v>1</v>
      </c>
      <c r="Z72">
        <v>2</v>
      </c>
      <c r="AA72">
        <v>91</v>
      </c>
      <c r="AB72">
        <v>3</v>
      </c>
      <c r="AC72">
        <v>4</v>
      </c>
      <c r="AD72">
        <v>2</v>
      </c>
      <c r="AE72">
        <v>16595</v>
      </c>
      <c r="AF72">
        <v>5626</v>
      </c>
      <c r="AG72">
        <v>7</v>
      </c>
      <c r="AH72">
        <v>16</v>
      </c>
      <c r="AI72">
        <v>3</v>
      </c>
      <c r="AJ72">
        <v>2</v>
      </c>
      <c r="AK72">
        <v>80</v>
      </c>
      <c r="AL72">
        <v>1</v>
      </c>
      <c r="AM72">
        <v>22</v>
      </c>
      <c r="AN72">
        <v>3</v>
      </c>
      <c r="AO72">
        <v>18</v>
      </c>
      <c r="AP72">
        <v>16</v>
      </c>
      <c r="AQ72">
        <v>11</v>
      </c>
      <c r="AR72">
        <v>8</v>
      </c>
    </row>
    <row r="73" spans="1:44" x14ac:dyDescent="0.25">
      <c r="A73" t="s">
        <v>43</v>
      </c>
      <c r="B73" t="s">
        <v>90</v>
      </c>
      <c r="C73" t="s">
        <v>37</v>
      </c>
      <c r="D73" t="s">
        <v>91</v>
      </c>
      <c r="E73" t="s">
        <v>33</v>
      </c>
      <c r="F73" t="s">
        <v>97</v>
      </c>
      <c r="G73" t="s">
        <v>170</v>
      </c>
      <c r="H73">
        <v>851</v>
      </c>
      <c r="I73" t="s">
        <v>12</v>
      </c>
      <c r="J73" t="s">
        <v>23</v>
      </c>
      <c r="K73" t="s">
        <v>41</v>
      </c>
      <c r="L73" t="s">
        <v>43</v>
      </c>
      <c r="M73" t="s">
        <v>94</v>
      </c>
      <c r="N73">
        <v>2</v>
      </c>
      <c r="O73">
        <v>-2</v>
      </c>
      <c r="P73">
        <v>0</v>
      </c>
      <c r="Q73">
        <v>51</v>
      </c>
      <c r="R73">
        <v>0</v>
      </c>
      <c r="T73">
        <v>0</v>
      </c>
      <c r="U73">
        <v>1</v>
      </c>
      <c r="V73">
        <v>1318</v>
      </c>
      <c r="W73">
        <v>26</v>
      </c>
      <c r="X73" t="s">
        <v>19</v>
      </c>
      <c r="Y73">
        <v>1</v>
      </c>
      <c r="Z73">
        <v>1</v>
      </c>
      <c r="AA73">
        <v>66</v>
      </c>
      <c r="AB73">
        <v>3</v>
      </c>
      <c r="AC73">
        <v>4</v>
      </c>
      <c r="AD73">
        <v>2</v>
      </c>
      <c r="AE73">
        <v>16307</v>
      </c>
      <c r="AF73">
        <v>5594</v>
      </c>
      <c r="AG73">
        <v>2</v>
      </c>
      <c r="AH73">
        <v>14</v>
      </c>
      <c r="AI73">
        <v>3</v>
      </c>
      <c r="AJ73">
        <v>3</v>
      </c>
      <c r="AK73">
        <v>80</v>
      </c>
      <c r="AL73">
        <v>1</v>
      </c>
      <c r="AM73">
        <v>29</v>
      </c>
      <c r="AN73">
        <v>2</v>
      </c>
      <c r="AO73">
        <v>20</v>
      </c>
      <c r="AP73">
        <v>6</v>
      </c>
      <c r="AQ73">
        <v>4</v>
      </c>
      <c r="AR73">
        <v>17</v>
      </c>
    </row>
    <row r="74" spans="1:44" x14ac:dyDescent="0.25">
      <c r="A74" t="s">
        <v>43</v>
      </c>
      <c r="B74" t="s">
        <v>90</v>
      </c>
      <c r="C74" t="s">
        <v>37</v>
      </c>
      <c r="D74" t="s">
        <v>91</v>
      </c>
      <c r="E74" t="s">
        <v>32</v>
      </c>
      <c r="F74" t="s">
        <v>92</v>
      </c>
      <c r="G74" t="s">
        <v>171</v>
      </c>
      <c r="H74">
        <v>976</v>
      </c>
      <c r="I74" t="s">
        <v>13</v>
      </c>
      <c r="J74" t="s">
        <v>23</v>
      </c>
      <c r="K74" t="s">
        <v>41</v>
      </c>
      <c r="L74" t="s">
        <v>43</v>
      </c>
      <c r="M74" t="s">
        <v>94</v>
      </c>
      <c r="N74">
        <v>2</v>
      </c>
      <c r="O74">
        <v>-2</v>
      </c>
      <c r="P74">
        <v>0</v>
      </c>
      <c r="Q74">
        <v>52</v>
      </c>
      <c r="R74">
        <v>0</v>
      </c>
      <c r="T74">
        <v>0</v>
      </c>
      <c r="U74">
        <v>1</v>
      </c>
      <c r="V74">
        <v>1053</v>
      </c>
      <c r="W74">
        <v>1</v>
      </c>
      <c r="X74" t="s">
        <v>15</v>
      </c>
      <c r="Y74">
        <v>1</v>
      </c>
      <c r="Z74">
        <v>4</v>
      </c>
      <c r="AA74">
        <v>70</v>
      </c>
      <c r="AB74">
        <v>3</v>
      </c>
      <c r="AC74">
        <v>4</v>
      </c>
      <c r="AD74">
        <v>1</v>
      </c>
      <c r="AE74">
        <v>17099</v>
      </c>
      <c r="AF74">
        <v>13829</v>
      </c>
      <c r="AG74">
        <v>2</v>
      </c>
      <c r="AH74">
        <v>15</v>
      </c>
      <c r="AI74">
        <v>3</v>
      </c>
      <c r="AJ74">
        <v>2</v>
      </c>
      <c r="AK74">
        <v>80</v>
      </c>
      <c r="AL74">
        <v>1</v>
      </c>
      <c r="AM74">
        <v>26</v>
      </c>
      <c r="AN74">
        <v>2</v>
      </c>
      <c r="AO74">
        <v>9</v>
      </c>
      <c r="AP74">
        <v>8</v>
      </c>
      <c r="AQ74">
        <v>7</v>
      </c>
      <c r="AR74">
        <v>8</v>
      </c>
    </row>
    <row r="75" spans="1:44" x14ac:dyDescent="0.25">
      <c r="A75" t="s">
        <v>43</v>
      </c>
      <c r="B75" t="s">
        <v>90</v>
      </c>
      <c r="C75" t="s">
        <v>37</v>
      </c>
      <c r="D75" t="s">
        <v>91</v>
      </c>
      <c r="E75" t="s">
        <v>33</v>
      </c>
      <c r="F75" t="s">
        <v>95</v>
      </c>
      <c r="G75" t="s">
        <v>172</v>
      </c>
      <c r="H75">
        <v>981</v>
      </c>
      <c r="I75" t="s">
        <v>13</v>
      </c>
      <c r="J75" t="s">
        <v>23</v>
      </c>
      <c r="K75" t="s">
        <v>40</v>
      </c>
      <c r="L75" t="s">
        <v>43</v>
      </c>
      <c r="M75" t="s">
        <v>94</v>
      </c>
      <c r="N75">
        <v>3</v>
      </c>
      <c r="O75">
        <v>-2</v>
      </c>
      <c r="P75">
        <v>0</v>
      </c>
      <c r="Q75">
        <v>53</v>
      </c>
      <c r="R75">
        <v>0</v>
      </c>
      <c r="T75">
        <v>0</v>
      </c>
      <c r="U75">
        <v>1</v>
      </c>
      <c r="V75">
        <v>1376</v>
      </c>
      <c r="W75">
        <v>2</v>
      </c>
      <c r="X75" t="s">
        <v>15</v>
      </c>
      <c r="Y75">
        <v>1</v>
      </c>
      <c r="Z75">
        <v>3</v>
      </c>
      <c r="AA75">
        <v>45</v>
      </c>
      <c r="AB75">
        <v>3</v>
      </c>
      <c r="AC75">
        <v>4</v>
      </c>
      <c r="AD75">
        <v>3</v>
      </c>
      <c r="AE75">
        <v>14852</v>
      </c>
      <c r="AF75">
        <v>13938</v>
      </c>
      <c r="AG75">
        <v>6</v>
      </c>
      <c r="AH75">
        <v>13</v>
      </c>
      <c r="AI75">
        <v>3</v>
      </c>
      <c r="AJ75">
        <v>3</v>
      </c>
      <c r="AK75">
        <v>80</v>
      </c>
      <c r="AL75">
        <v>1</v>
      </c>
      <c r="AM75">
        <v>22</v>
      </c>
      <c r="AN75">
        <v>4</v>
      </c>
      <c r="AO75">
        <v>17</v>
      </c>
      <c r="AP75">
        <v>13</v>
      </c>
      <c r="AQ75">
        <v>15</v>
      </c>
      <c r="AR75">
        <v>2</v>
      </c>
    </row>
    <row r="76" spans="1:44" x14ac:dyDescent="0.25">
      <c r="A76" t="s">
        <v>43</v>
      </c>
      <c r="B76" t="s">
        <v>90</v>
      </c>
      <c r="C76" t="s">
        <v>36</v>
      </c>
      <c r="D76" t="s">
        <v>91</v>
      </c>
      <c r="E76" t="s">
        <v>32</v>
      </c>
      <c r="F76" t="s">
        <v>95</v>
      </c>
      <c r="G76" t="s">
        <v>173</v>
      </c>
      <c r="H76">
        <v>1109</v>
      </c>
      <c r="I76" t="s">
        <v>13</v>
      </c>
      <c r="J76" t="s">
        <v>23</v>
      </c>
      <c r="K76" t="s">
        <v>41</v>
      </c>
      <c r="L76" t="s">
        <v>43</v>
      </c>
      <c r="M76" t="s">
        <v>94</v>
      </c>
      <c r="N76">
        <v>3</v>
      </c>
      <c r="O76">
        <v>-2</v>
      </c>
      <c r="P76">
        <v>0</v>
      </c>
      <c r="Q76">
        <v>42</v>
      </c>
      <c r="R76">
        <v>0</v>
      </c>
      <c r="T76">
        <v>0</v>
      </c>
      <c r="U76">
        <v>1</v>
      </c>
      <c r="V76">
        <v>469</v>
      </c>
      <c r="W76">
        <v>2</v>
      </c>
      <c r="X76" t="s">
        <v>15</v>
      </c>
      <c r="Y76">
        <v>1</v>
      </c>
      <c r="Z76">
        <v>4</v>
      </c>
      <c r="AA76">
        <v>35</v>
      </c>
      <c r="AB76">
        <v>3</v>
      </c>
      <c r="AC76">
        <v>4</v>
      </c>
      <c r="AD76">
        <v>3</v>
      </c>
      <c r="AE76">
        <v>17665</v>
      </c>
      <c r="AF76">
        <v>14399</v>
      </c>
      <c r="AG76">
        <v>0</v>
      </c>
      <c r="AH76">
        <v>17</v>
      </c>
      <c r="AI76">
        <v>3</v>
      </c>
      <c r="AJ76">
        <v>4</v>
      </c>
      <c r="AK76">
        <v>80</v>
      </c>
      <c r="AL76">
        <v>1</v>
      </c>
      <c r="AM76">
        <v>23</v>
      </c>
      <c r="AN76">
        <v>3</v>
      </c>
      <c r="AO76">
        <v>22</v>
      </c>
      <c r="AP76">
        <v>6</v>
      </c>
      <c r="AQ76">
        <v>13</v>
      </c>
      <c r="AR76">
        <v>7</v>
      </c>
    </row>
    <row r="77" spans="1:44" x14ac:dyDescent="0.25">
      <c r="A77" t="s">
        <v>43</v>
      </c>
      <c r="B77" t="s">
        <v>90</v>
      </c>
      <c r="C77" t="s">
        <v>37</v>
      </c>
      <c r="D77" t="s">
        <v>91</v>
      </c>
      <c r="E77" t="s">
        <v>33</v>
      </c>
      <c r="F77" t="s">
        <v>97</v>
      </c>
      <c r="G77" t="s">
        <v>174</v>
      </c>
      <c r="H77">
        <v>1124</v>
      </c>
      <c r="I77" t="s">
        <v>13</v>
      </c>
      <c r="J77" t="s">
        <v>23</v>
      </c>
      <c r="K77" t="s">
        <v>41</v>
      </c>
      <c r="L77" t="s">
        <v>43</v>
      </c>
      <c r="M77" t="s">
        <v>94</v>
      </c>
      <c r="N77">
        <v>3</v>
      </c>
      <c r="O77">
        <v>-2</v>
      </c>
      <c r="P77">
        <v>0</v>
      </c>
      <c r="Q77">
        <v>46</v>
      </c>
      <c r="R77">
        <v>0</v>
      </c>
      <c r="T77">
        <v>0</v>
      </c>
      <c r="U77">
        <v>1</v>
      </c>
      <c r="V77">
        <v>406</v>
      </c>
      <c r="W77">
        <v>3</v>
      </c>
      <c r="X77" t="s">
        <v>18</v>
      </c>
      <c r="Y77">
        <v>1</v>
      </c>
      <c r="Z77">
        <v>1</v>
      </c>
      <c r="AA77">
        <v>52</v>
      </c>
      <c r="AB77">
        <v>3</v>
      </c>
      <c r="AC77">
        <v>4</v>
      </c>
      <c r="AD77">
        <v>2</v>
      </c>
      <c r="AE77">
        <v>17465</v>
      </c>
      <c r="AF77">
        <v>15596</v>
      </c>
      <c r="AG77">
        <v>3</v>
      </c>
      <c r="AH77">
        <v>12</v>
      </c>
      <c r="AI77">
        <v>3</v>
      </c>
      <c r="AJ77">
        <v>4</v>
      </c>
      <c r="AK77">
        <v>80</v>
      </c>
      <c r="AL77">
        <v>1</v>
      </c>
      <c r="AM77">
        <v>23</v>
      </c>
      <c r="AN77">
        <v>3</v>
      </c>
      <c r="AO77">
        <v>12</v>
      </c>
      <c r="AP77">
        <v>9</v>
      </c>
      <c r="AQ77">
        <v>4</v>
      </c>
      <c r="AR77">
        <v>9</v>
      </c>
    </row>
    <row r="78" spans="1:44" x14ac:dyDescent="0.25">
      <c r="A78" t="s">
        <v>43</v>
      </c>
      <c r="B78" t="s">
        <v>90</v>
      </c>
      <c r="C78" t="s">
        <v>38</v>
      </c>
      <c r="D78" t="s">
        <v>91</v>
      </c>
      <c r="E78" t="s">
        <v>32</v>
      </c>
      <c r="F78" t="s">
        <v>110</v>
      </c>
      <c r="G78" t="s">
        <v>175</v>
      </c>
      <c r="H78">
        <v>1191</v>
      </c>
      <c r="I78" t="s">
        <v>12</v>
      </c>
      <c r="J78" t="s">
        <v>23</v>
      </c>
      <c r="K78" t="s">
        <v>40</v>
      </c>
      <c r="L78" t="s">
        <v>43</v>
      </c>
      <c r="M78" t="s">
        <v>94</v>
      </c>
      <c r="N78">
        <v>2</v>
      </c>
      <c r="O78">
        <v>-2</v>
      </c>
      <c r="P78">
        <v>0</v>
      </c>
      <c r="Q78">
        <v>56</v>
      </c>
      <c r="R78">
        <v>0</v>
      </c>
      <c r="T78">
        <v>0</v>
      </c>
      <c r="U78">
        <v>1</v>
      </c>
      <c r="V78">
        <v>718</v>
      </c>
      <c r="W78">
        <v>4</v>
      </c>
      <c r="X78" t="s">
        <v>19</v>
      </c>
      <c r="Y78">
        <v>1</v>
      </c>
      <c r="Z78">
        <v>4</v>
      </c>
      <c r="AA78">
        <v>92</v>
      </c>
      <c r="AB78">
        <v>3</v>
      </c>
      <c r="AC78">
        <v>5</v>
      </c>
      <c r="AD78">
        <v>4</v>
      </c>
      <c r="AE78">
        <v>19943</v>
      </c>
      <c r="AF78">
        <v>18575</v>
      </c>
      <c r="AG78">
        <v>4</v>
      </c>
      <c r="AH78">
        <v>13</v>
      </c>
      <c r="AI78">
        <v>3</v>
      </c>
      <c r="AJ78">
        <v>4</v>
      </c>
      <c r="AK78">
        <v>80</v>
      </c>
      <c r="AL78">
        <v>1</v>
      </c>
      <c r="AM78">
        <v>28</v>
      </c>
      <c r="AN78">
        <v>3</v>
      </c>
      <c r="AO78">
        <v>5</v>
      </c>
      <c r="AP78">
        <v>2</v>
      </c>
      <c r="AQ78">
        <v>4</v>
      </c>
      <c r="AR78">
        <v>2</v>
      </c>
    </row>
    <row r="79" spans="1:44" x14ac:dyDescent="0.25">
      <c r="A79" t="s">
        <v>43</v>
      </c>
      <c r="B79" t="s">
        <v>90</v>
      </c>
      <c r="C79" t="s">
        <v>37</v>
      </c>
      <c r="D79" t="s">
        <v>91</v>
      </c>
      <c r="E79" t="s">
        <v>32</v>
      </c>
      <c r="F79" t="s">
        <v>95</v>
      </c>
      <c r="G79" t="s">
        <v>176</v>
      </c>
      <c r="H79">
        <v>1201</v>
      </c>
      <c r="I79" t="s">
        <v>12</v>
      </c>
      <c r="J79" t="s">
        <v>23</v>
      </c>
      <c r="K79" t="s">
        <v>40</v>
      </c>
      <c r="L79" t="s">
        <v>43</v>
      </c>
      <c r="M79" t="s">
        <v>94</v>
      </c>
      <c r="N79">
        <v>6</v>
      </c>
      <c r="O79">
        <v>-2</v>
      </c>
      <c r="P79">
        <v>0</v>
      </c>
      <c r="Q79">
        <v>53</v>
      </c>
      <c r="R79">
        <v>0</v>
      </c>
      <c r="T79">
        <v>0</v>
      </c>
      <c r="U79">
        <v>1</v>
      </c>
      <c r="V79">
        <v>1223</v>
      </c>
      <c r="W79">
        <v>7</v>
      </c>
      <c r="X79" t="s">
        <v>15</v>
      </c>
      <c r="Y79">
        <v>1</v>
      </c>
      <c r="Z79">
        <v>4</v>
      </c>
      <c r="AA79">
        <v>50</v>
      </c>
      <c r="AB79">
        <v>3</v>
      </c>
      <c r="AC79">
        <v>5</v>
      </c>
      <c r="AD79">
        <v>3</v>
      </c>
      <c r="AE79">
        <v>18606</v>
      </c>
      <c r="AF79">
        <v>18640</v>
      </c>
      <c r="AG79">
        <v>3</v>
      </c>
      <c r="AH79">
        <v>18</v>
      </c>
      <c r="AI79">
        <v>3</v>
      </c>
      <c r="AJ79">
        <v>2</v>
      </c>
      <c r="AK79">
        <v>80</v>
      </c>
      <c r="AL79">
        <v>1</v>
      </c>
      <c r="AM79">
        <v>26</v>
      </c>
      <c r="AN79">
        <v>3</v>
      </c>
      <c r="AO79">
        <v>7</v>
      </c>
      <c r="AP79">
        <v>7</v>
      </c>
      <c r="AQ79">
        <v>4</v>
      </c>
      <c r="AR79">
        <v>7</v>
      </c>
    </row>
    <row r="80" spans="1:44" x14ac:dyDescent="0.25">
      <c r="A80" t="s">
        <v>43</v>
      </c>
      <c r="B80" t="s">
        <v>90</v>
      </c>
      <c r="C80" t="s">
        <v>37</v>
      </c>
      <c r="D80" t="s">
        <v>91</v>
      </c>
      <c r="E80" t="s">
        <v>33</v>
      </c>
      <c r="F80" t="s">
        <v>97</v>
      </c>
      <c r="G80" t="s">
        <v>177</v>
      </c>
      <c r="H80">
        <v>1204</v>
      </c>
      <c r="I80" t="s">
        <v>12</v>
      </c>
      <c r="J80" t="s">
        <v>23</v>
      </c>
      <c r="K80" t="s">
        <v>41</v>
      </c>
      <c r="L80" t="s">
        <v>43</v>
      </c>
      <c r="M80" t="s">
        <v>94</v>
      </c>
      <c r="N80">
        <v>2</v>
      </c>
      <c r="O80">
        <v>-2</v>
      </c>
      <c r="P80">
        <v>0</v>
      </c>
      <c r="Q80">
        <v>46</v>
      </c>
      <c r="R80">
        <v>0</v>
      </c>
      <c r="T80">
        <v>0</v>
      </c>
      <c r="U80">
        <v>1</v>
      </c>
      <c r="V80">
        <v>1402</v>
      </c>
      <c r="W80">
        <v>2</v>
      </c>
      <c r="X80" t="s">
        <v>16</v>
      </c>
      <c r="Y80">
        <v>1</v>
      </c>
      <c r="Z80">
        <v>3</v>
      </c>
      <c r="AA80">
        <v>69</v>
      </c>
      <c r="AB80">
        <v>3</v>
      </c>
      <c r="AC80">
        <v>4</v>
      </c>
      <c r="AD80">
        <v>2</v>
      </c>
      <c r="AE80">
        <v>17048</v>
      </c>
      <c r="AF80">
        <v>24097</v>
      </c>
      <c r="AG80">
        <v>8</v>
      </c>
      <c r="AH80">
        <v>23</v>
      </c>
      <c r="AI80">
        <v>4</v>
      </c>
      <c r="AJ80">
        <v>1</v>
      </c>
      <c r="AK80">
        <v>80</v>
      </c>
      <c r="AL80">
        <v>0</v>
      </c>
      <c r="AM80">
        <v>28</v>
      </c>
      <c r="AN80">
        <v>3</v>
      </c>
      <c r="AO80">
        <v>26</v>
      </c>
      <c r="AP80">
        <v>15</v>
      </c>
      <c r="AQ80">
        <v>15</v>
      </c>
      <c r="AR80">
        <v>9</v>
      </c>
    </row>
    <row r="81" spans="1:44" x14ac:dyDescent="0.25">
      <c r="A81" t="s">
        <v>43</v>
      </c>
      <c r="B81" t="s">
        <v>90</v>
      </c>
      <c r="C81" t="s">
        <v>36</v>
      </c>
      <c r="D81" t="s">
        <v>91</v>
      </c>
      <c r="E81" t="s">
        <v>33</v>
      </c>
      <c r="F81" t="s">
        <v>97</v>
      </c>
      <c r="G81" t="s">
        <v>178</v>
      </c>
      <c r="H81">
        <v>1267</v>
      </c>
      <c r="I81" t="s">
        <v>13</v>
      </c>
      <c r="J81" t="s">
        <v>23</v>
      </c>
      <c r="K81" t="s">
        <v>41</v>
      </c>
      <c r="L81" t="s">
        <v>43</v>
      </c>
      <c r="M81" t="s">
        <v>94</v>
      </c>
      <c r="N81">
        <v>5</v>
      </c>
      <c r="O81">
        <v>-2</v>
      </c>
      <c r="P81">
        <v>0</v>
      </c>
      <c r="Q81">
        <v>44</v>
      </c>
      <c r="R81">
        <v>0</v>
      </c>
      <c r="T81">
        <v>0</v>
      </c>
      <c r="U81">
        <v>1</v>
      </c>
      <c r="V81">
        <v>1099</v>
      </c>
      <c r="W81">
        <v>5</v>
      </c>
      <c r="X81" t="s">
        <v>16</v>
      </c>
      <c r="Y81">
        <v>1</v>
      </c>
      <c r="Z81">
        <v>2</v>
      </c>
      <c r="AA81">
        <v>88</v>
      </c>
      <c r="AB81">
        <v>3</v>
      </c>
      <c r="AC81">
        <v>5</v>
      </c>
      <c r="AD81">
        <v>2</v>
      </c>
      <c r="AE81">
        <v>18213</v>
      </c>
      <c r="AF81">
        <v>8751</v>
      </c>
      <c r="AG81">
        <v>7</v>
      </c>
      <c r="AH81">
        <v>11</v>
      </c>
      <c r="AI81">
        <v>3</v>
      </c>
      <c r="AJ81">
        <v>3</v>
      </c>
      <c r="AK81">
        <v>80</v>
      </c>
      <c r="AL81">
        <v>1</v>
      </c>
      <c r="AM81">
        <v>26</v>
      </c>
      <c r="AN81">
        <v>3</v>
      </c>
      <c r="AO81">
        <v>22</v>
      </c>
      <c r="AP81">
        <v>9</v>
      </c>
      <c r="AQ81">
        <v>3</v>
      </c>
      <c r="AR81">
        <v>10</v>
      </c>
    </row>
    <row r="82" spans="1:44" x14ac:dyDescent="0.25">
      <c r="A82" t="s">
        <v>43</v>
      </c>
      <c r="B82" t="s">
        <v>90</v>
      </c>
      <c r="C82" t="s">
        <v>38</v>
      </c>
      <c r="D82" t="s">
        <v>91</v>
      </c>
      <c r="E82" t="s">
        <v>31</v>
      </c>
      <c r="F82" t="s">
        <v>92</v>
      </c>
      <c r="G82" t="s">
        <v>179</v>
      </c>
      <c r="H82">
        <v>1338</v>
      </c>
      <c r="I82" t="s">
        <v>13</v>
      </c>
      <c r="J82" t="s">
        <v>23</v>
      </c>
      <c r="K82" t="s">
        <v>42</v>
      </c>
      <c r="L82" t="s">
        <v>43</v>
      </c>
      <c r="M82" t="s">
        <v>94</v>
      </c>
      <c r="N82">
        <v>4</v>
      </c>
      <c r="O82">
        <v>-2</v>
      </c>
      <c r="P82">
        <v>0</v>
      </c>
      <c r="Q82">
        <v>56</v>
      </c>
      <c r="R82">
        <v>0</v>
      </c>
      <c r="T82">
        <v>0</v>
      </c>
      <c r="U82">
        <v>1</v>
      </c>
      <c r="V82">
        <v>206</v>
      </c>
      <c r="W82">
        <v>8</v>
      </c>
      <c r="X82" t="s">
        <v>19</v>
      </c>
      <c r="Y82">
        <v>1</v>
      </c>
      <c r="Z82">
        <v>4</v>
      </c>
      <c r="AA82">
        <v>99</v>
      </c>
      <c r="AB82">
        <v>3</v>
      </c>
      <c r="AC82">
        <v>5</v>
      </c>
      <c r="AD82">
        <v>2</v>
      </c>
      <c r="AE82">
        <v>19717</v>
      </c>
      <c r="AF82">
        <v>4022</v>
      </c>
      <c r="AG82">
        <v>6</v>
      </c>
      <c r="AH82">
        <v>14</v>
      </c>
      <c r="AI82">
        <v>3</v>
      </c>
      <c r="AJ82">
        <v>1</v>
      </c>
      <c r="AK82">
        <v>80</v>
      </c>
      <c r="AL82">
        <v>0</v>
      </c>
      <c r="AM82">
        <v>36</v>
      </c>
      <c r="AN82">
        <v>3</v>
      </c>
      <c r="AO82">
        <v>7</v>
      </c>
      <c r="AP82">
        <v>3</v>
      </c>
      <c r="AQ82">
        <v>7</v>
      </c>
      <c r="AR82">
        <v>7</v>
      </c>
    </row>
    <row r="83" spans="1:44" x14ac:dyDescent="0.25">
      <c r="A83" t="s">
        <v>43</v>
      </c>
      <c r="B83" t="s">
        <v>90</v>
      </c>
      <c r="C83" t="s">
        <v>37</v>
      </c>
      <c r="D83" t="s">
        <v>91</v>
      </c>
      <c r="E83" t="s">
        <v>32</v>
      </c>
      <c r="F83" t="s">
        <v>110</v>
      </c>
      <c r="G83" t="s">
        <v>180</v>
      </c>
      <c r="H83">
        <v>1786</v>
      </c>
      <c r="I83" t="s">
        <v>12</v>
      </c>
      <c r="J83" t="s">
        <v>23</v>
      </c>
      <c r="K83" t="s">
        <v>41</v>
      </c>
      <c r="L83" t="s">
        <v>43</v>
      </c>
      <c r="M83" t="s">
        <v>94</v>
      </c>
      <c r="N83">
        <v>2</v>
      </c>
      <c r="O83">
        <v>-2</v>
      </c>
      <c r="P83">
        <v>0</v>
      </c>
      <c r="Q83">
        <v>51</v>
      </c>
      <c r="R83">
        <v>0</v>
      </c>
      <c r="T83">
        <v>0</v>
      </c>
      <c r="U83">
        <v>1</v>
      </c>
      <c r="V83">
        <v>942</v>
      </c>
      <c r="W83">
        <v>3</v>
      </c>
      <c r="X83" t="s">
        <v>16</v>
      </c>
      <c r="Y83">
        <v>1</v>
      </c>
      <c r="Z83">
        <v>4</v>
      </c>
      <c r="AA83">
        <v>53</v>
      </c>
      <c r="AB83">
        <v>3</v>
      </c>
      <c r="AC83">
        <v>3</v>
      </c>
      <c r="AD83">
        <v>4</v>
      </c>
      <c r="AE83">
        <v>13116</v>
      </c>
      <c r="AF83">
        <v>22984</v>
      </c>
      <c r="AG83">
        <v>2</v>
      </c>
      <c r="AH83">
        <v>11</v>
      </c>
      <c r="AI83">
        <v>3</v>
      </c>
      <c r="AJ83">
        <v>4</v>
      </c>
      <c r="AK83">
        <v>80</v>
      </c>
      <c r="AL83">
        <v>0</v>
      </c>
      <c r="AM83">
        <v>15</v>
      </c>
      <c r="AN83">
        <v>3</v>
      </c>
      <c r="AO83">
        <v>2</v>
      </c>
      <c r="AP83">
        <v>2</v>
      </c>
      <c r="AQ83">
        <v>2</v>
      </c>
      <c r="AR83">
        <v>2</v>
      </c>
    </row>
    <row r="84" spans="1:44" x14ac:dyDescent="0.25">
      <c r="A84" t="s">
        <v>43</v>
      </c>
      <c r="B84" t="s">
        <v>90</v>
      </c>
      <c r="C84" t="s">
        <v>37</v>
      </c>
      <c r="D84" t="s">
        <v>91</v>
      </c>
      <c r="E84" t="s">
        <v>33</v>
      </c>
      <c r="F84" t="s">
        <v>92</v>
      </c>
      <c r="G84" t="s">
        <v>181</v>
      </c>
      <c r="H84">
        <v>1527</v>
      </c>
      <c r="I84" t="s">
        <v>12</v>
      </c>
      <c r="J84" t="s">
        <v>23</v>
      </c>
      <c r="K84" t="s">
        <v>41</v>
      </c>
      <c r="L84" t="s">
        <v>43</v>
      </c>
      <c r="M84" t="s">
        <v>94</v>
      </c>
      <c r="N84">
        <v>2</v>
      </c>
      <c r="O84">
        <v>-2</v>
      </c>
      <c r="P84">
        <v>0</v>
      </c>
      <c r="Q84">
        <v>46</v>
      </c>
      <c r="R84">
        <v>0</v>
      </c>
      <c r="T84">
        <v>0</v>
      </c>
      <c r="U84">
        <v>1</v>
      </c>
      <c r="V84">
        <v>228</v>
      </c>
      <c r="W84">
        <v>3</v>
      </c>
      <c r="X84" t="s">
        <v>16</v>
      </c>
      <c r="Y84">
        <v>1</v>
      </c>
      <c r="Z84">
        <v>3</v>
      </c>
      <c r="AA84">
        <v>51</v>
      </c>
      <c r="AB84">
        <v>3</v>
      </c>
      <c r="AC84">
        <v>4</v>
      </c>
      <c r="AD84">
        <v>2</v>
      </c>
      <c r="AE84">
        <v>16606</v>
      </c>
      <c r="AF84">
        <v>11380</v>
      </c>
      <c r="AG84">
        <v>8</v>
      </c>
      <c r="AH84">
        <v>12</v>
      </c>
      <c r="AI84">
        <v>3</v>
      </c>
      <c r="AJ84">
        <v>4</v>
      </c>
      <c r="AK84">
        <v>80</v>
      </c>
      <c r="AL84">
        <v>1</v>
      </c>
      <c r="AM84">
        <v>23</v>
      </c>
      <c r="AN84">
        <v>4</v>
      </c>
      <c r="AO84">
        <v>13</v>
      </c>
      <c r="AP84">
        <v>12</v>
      </c>
      <c r="AQ84">
        <v>5</v>
      </c>
      <c r="AR84">
        <v>1</v>
      </c>
    </row>
    <row r="85" spans="1:44" x14ac:dyDescent="0.25">
      <c r="A85" t="s">
        <v>43</v>
      </c>
      <c r="B85" t="s">
        <v>90</v>
      </c>
      <c r="C85" t="s">
        <v>36</v>
      </c>
      <c r="D85" t="s">
        <v>91</v>
      </c>
      <c r="E85" t="s">
        <v>32</v>
      </c>
      <c r="F85" t="s">
        <v>92</v>
      </c>
      <c r="G85" t="s">
        <v>182</v>
      </c>
      <c r="H85">
        <v>1892</v>
      </c>
      <c r="I85" t="s">
        <v>13</v>
      </c>
      <c r="J85" t="s">
        <v>23</v>
      </c>
      <c r="K85" t="s">
        <v>40</v>
      </c>
      <c r="L85" t="s">
        <v>43</v>
      </c>
      <c r="M85" t="s">
        <v>94</v>
      </c>
      <c r="N85">
        <v>3</v>
      </c>
      <c r="O85">
        <v>-2</v>
      </c>
      <c r="P85">
        <v>0</v>
      </c>
      <c r="Q85">
        <v>40</v>
      </c>
      <c r="R85">
        <v>0</v>
      </c>
      <c r="T85">
        <v>0</v>
      </c>
      <c r="U85">
        <v>1</v>
      </c>
      <c r="V85">
        <v>1137</v>
      </c>
      <c r="W85">
        <v>1</v>
      </c>
      <c r="X85" t="s">
        <v>19</v>
      </c>
      <c r="Y85">
        <v>1</v>
      </c>
      <c r="Z85">
        <v>1</v>
      </c>
      <c r="AA85">
        <v>98</v>
      </c>
      <c r="AB85">
        <v>3</v>
      </c>
      <c r="AC85">
        <v>4</v>
      </c>
      <c r="AD85">
        <v>3</v>
      </c>
      <c r="AE85">
        <v>16823</v>
      </c>
      <c r="AF85">
        <v>18991</v>
      </c>
      <c r="AG85">
        <v>2</v>
      </c>
      <c r="AH85">
        <v>11</v>
      </c>
      <c r="AI85">
        <v>3</v>
      </c>
      <c r="AJ85">
        <v>1</v>
      </c>
      <c r="AK85">
        <v>80</v>
      </c>
      <c r="AL85">
        <v>1</v>
      </c>
      <c r="AM85">
        <v>22</v>
      </c>
      <c r="AN85">
        <v>3</v>
      </c>
      <c r="AO85">
        <v>19</v>
      </c>
      <c r="AP85">
        <v>7</v>
      </c>
      <c r="AQ85">
        <v>11</v>
      </c>
      <c r="AR85">
        <v>16</v>
      </c>
    </row>
    <row r="86" spans="1:44" x14ac:dyDescent="0.25">
      <c r="A86" t="s">
        <v>43</v>
      </c>
      <c r="B86" t="s">
        <v>90</v>
      </c>
      <c r="C86" t="s">
        <v>36</v>
      </c>
      <c r="D86" t="s">
        <v>91</v>
      </c>
      <c r="E86" t="s">
        <v>32</v>
      </c>
      <c r="F86" t="s">
        <v>92</v>
      </c>
      <c r="G86" t="s">
        <v>183</v>
      </c>
      <c r="H86">
        <v>2031</v>
      </c>
      <c r="I86" t="s">
        <v>13</v>
      </c>
      <c r="J86" t="s">
        <v>23</v>
      </c>
      <c r="K86" t="s">
        <v>41</v>
      </c>
      <c r="L86" t="s">
        <v>43</v>
      </c>
      <c r="M86" t="s">
        <v>94</v>
      </c>
      <c r="N86">
        <v>2</v>
      </c>
      <c r="O86">
        <v>-2</v>
      </c>
      <c r="P86">
        <v>0</v>
      </c>
      <c r="Q86">
        <v>42</v>
      </c>
      <c r="R86">
        <v>0</v>
      </c>
      <c r="T86">
        <v>0</v>
      </c>
      <c r="U86">
        <v>1</v>
      </c>
      <c r="V86">
        <v>300</v>
      </c>
      <c r="W86">
        <v>2</v>
      </c>
      <c r="X86" t="s">
        <v>16</v>
      </c>
      <c r="Y86">
        <v>1</v>
      </c>
      <c r="Z86">
        <v>1</v>
      </c>
      <c r="AA86">
        <v>56</v>
      </c>
      <c r="AB86">
        <v>3</v>
      </c>
      <c r="AC86">
        <v>5</v>
      </c>
      <c r="AD86">
        <v>3</v>
      </c>
      <c r="AE86">
        <v>18880</v>
      </c>
      <c r="AF86">
        <v>17312</v>
      </c>
      <c r="AG86">
        <v>5</v>
      </c>
      <c r="AH86">
        <v>11</v>
      </c>
      <c r="AI86">
        <v>3</v>
      </c>
      <c r="AJ86">
        <v>1</v>
      </c>
      <c r="AK86">
        <v>80</v>
      </c>
      <c r="AL86">
        <v>0</v>
      </c>
      <c r="AM86">
        <v>24</v>
      </c>
      <c r="AN86">
        <v>2</v>
      </c>
      <c r="AO86">
        <v>22</v>
      </c>
      <c r="AP86">
        <v>6</v>
      </c>
      <c r="AQ86">
        <v>4</v>
      </c>
      <c r="AR86">
        <v>14</v>
      </c>
    </row>
    <row r="87" spans="1:44" x14ac:dyDescent="0.25">
      <c r="A87" t="s">
        <v>43</v>
      </c>
      <c r="B87" t="s">
        <v>90</v>
      </c>
      <c r="C87" t="s">
        <v>37</v>
      </c>
      <c r="D87" t="s">
        <v>91</v>
      </c>
      <c r="E87" t="s">
        <v>32</v>
      </c>
      <c r="F87" t="s">
        <v>95</v>
      </c>
      <c r="G87" t="s">
        <v>184</v>
      </c>
      <c r="H87">
        <v>1665</v>
      </c>
      <c r="I87" t="s">
        <v>12</v>
      </c>
      <c r="J87" t="s">
        <v>23</v>
      </c>
      <c r="K87" t="s">
        <v>41</v>
      </c>
      <c r="L87" t="s">
        <v>43</v>
      </c>
      <c r="M87" t="s">
        <v>94</v>
      </c>
      <c r="N87">
        <v>6</v>
      </c>
      <c r="O87">
        <v>-2</v>
      </c>
      <c r="P87">
        <v>0</v>
      </c>
      <c r="Q87">
        <v>54</v>
      </c>
      <c r="R87">
        <v>0</v>
      </c>
      <c r="T87">
        <v>0</v>
      </c>
      <c r="U87">
        <v>1</v>
      </c>
      <c r="V87">
        <v>584</v>
      </c>
      <c r="W87">
        <v>22</v>
      </c>
      <c r="X87" t="s">
        <v>17</v>
      </c>
      <c r="Y87">
        <v>1</v>
      </c>
      <c r="Z87">
        <v>2</v>
      </c>
      <c r="AA87">
        <v>91</v>
      </c>
      <c r="AB87">
        <v>3</v>
      </c>
      <c r="AC87">
        <v>4</v>
      </c>
      <c r="AD87">
        <v>3</v>
      </c>
      <c r="AE87">
        <v>17426</v>
      </c>
      <c r="AF87">
        <v>18685</v>
      </c>
      <c r="AG87">
        <v>3</v>
      </c>
      <c r="AH87">
        <v>25</v>
      </c>
      <c r="AI87">
        <v>4</v>
      </c>
      <c r="AJ87">
        <v>3</v>
      </c>
      <c r="AK87">
        <v>80</v>
      </c>
      <c r="AL87">
        <v>1</v>
      </c>
      <c r="AM87">
        <v>36</v>
      </c>
      <c r="AN87">
        <v>3</v>
      </c>
      <c r="AO87">
        <v>10</v>
      </c>
      <c r="AP87">
        <v>8</v>
      </c>
      <c r="AQ87">
        <v>4</v>
      </c>
      <c r="AR87">
        <v>7</v>
      </c>
    </row>
    <row r="88" spans="1:44" x14ac:dyDescent="0.25">
      <c r="A88" t="s">
        <v>43</v>
      </c>
      <c r="B88" t="s">
        <v>101</v>
      </c>
      <c r="C88" t="s">
        <v>36</v>
      </c>
      <c r="D88" t="s">
        <v>91</v>
      </c>
      <c r="E88" t="s">
        <v>33</v>
      </c>
      <c r="F88" t="s">
        <v>92</v>
      </c>
      <c r="G88" t="s">
        <v>185</v>
      </c>
      <c r="H88">
        <v>158</v>
      </c>
      <c r="I88" t="s">
        <v>13</v>
      </c>
      <c r="J88" t="s">
        <v>23</v>
      </c>
      <c r="K88" t="s">
        <v>41</v>
      </c>
      <c r="L88" t="s">
        <v>44</v>
      </c>
      <c r="M88" t="s">
        <v>94</v>
      </c>
      <c r="N88">
        <v>3</v>
      </c>
      <c r="O88">
        <v>-2</v>
      </c>
      <c r="P88">
        <v>0</v>
      </c>
      <c r="Q88">
        <v>43</v>
      </c>
      <c r="R88">
        <v>0</v>
      </c>
      <c r="T88">
        <v>0</v>
      </c>
      <c r="U88">
        <v>1</v>
      </c>
      <c r="V88">
        <v>394</v>
      </c>
      <c r="W88">
        <v>26</v>
      </c>
      <c r="X88" t="s">
        <v>15</v>
      </c>
      <c r="Y88">
        <v>1</v>
      </c>
      <c r="Z88">
        <v>3</v>
      </c>
      <c r="AA88">
        <v>92</v>
      </c>
      <c r="AB88">
        <v>3</v>
      </c>
      <c r="AC88">
        <v>4</v>
      </c>
      <c r="AD88">
        <v>2</v>
      </c>
      <c r="AE88">
        <v>16959</v>
      </c>
      <c r="AF88">
        <v>19494</v>
      </c>
      <c r="AG88">
        <v>1</v>
      </c>
      <c r="AH88">
        <v>12</v>
      </c>
      <c r="AI88">
        <v>3</v>
      </c>
      <c r="AJ88">
        <v>4</v>
      </c>
      <c r="AK88">
        <v>80</v>
      </c>
      <c r="AL88">
        <v>2</v>
      </c>
      <c r="AM88">
        <v>25</v>
      </c>
      <c r="AN88">
        <v>4</v>
      </c>
      <c r="AO88">
        <v>25</v>
      </c>
      <c r="AP88">
        <v>12</v>
      </c>
      <c r="AQ88">
        <v>4</v>
      </c>
      <c r="AR88">
        <v>12</v>
      </c>
    </row>
    <row r="89" spans="1:44" x14ac:dyDescent="0.25">
      <c r="A89" t="s">
        <v>43</v>
      </c>
      <c r="B89" t="s">
        <v>134</v>
      </c>
      <c r="C89" t="s">
        <v>37</v>
      </c>
      <c r="D89" t="s">
        <v>91</v>
      </c>
      <c r="E89" t="s">
        <v>33</v>
      </c>
      <c r="F89" t="s">
        <v>92</v>
      </c>
      <c r="G89" t="s">
        <v>186</v>
      </c>
      <c r="H89">
        <v>329</v>
      </c>
      <c r="I89" t="s">
        <v>13</v>
      </c>
      <c r="J89" t="s">
        <v>23</v>
      </c>
      <c r="K89" t="s">
        <v>42</v>
      </c>
      <c r="L89" t="s">
        <v>44</v>
      </c>
      <c r="M89" t="s">
        <v>94</v>
      </c>
      <c r="N89">
        <v>2</v>
      </c>
      <c r="O89">
        <v>-2</v>
      </c>
      <c r="P89">
        <v>0</v>
      </c>
      <c r="Q89">
        <v>52</v>
      </c>
      <c r="R89">
        <v>0</v>
      </c>
      <c r="T89">
        <v>0</v>
      </c>
      <c r="U89">
        <v>1</v>
      </c>
      <c r="V89">
        <v>771</v>
      </c>
      <c r="W89">
        <v>2</v>
      </c>
      <c r="X89" t="s">
        <v>19</v>
      </c>
      <c r="Y89">
        <v>1</v>
      </c>
      <c r="Z89">
        <v>1</v>
      </c>
      <c r="AA89">
        <v>79</v>
      </c>
      <c r="AB89">
        <v>2</v>
      </c>
      <c r="AC89">
        <v>5</v>
      </c>
      <c r="AD89">
        <v>2</v>
      </c>
      <c r="AE89">
        <v>19068</v>
      </c>
      <c r="AF89">
        <v>21030</v>
      </c>
      <c r="AG89">
        <v>1</v>
      </c>
      <c r="AH89">
        <v>18</v>
      </c>
      <c r="AI89">
        <v>3</v>
      </c>
      <c r="AJ89">
        <v>4</v>
      </c>
      <c r="AK89">
        <v>80</v>
      </c>
      <c r="AL89">
        <v>0</v>
      </c>
      <c r="AM89">
        <v>33</v>
      </c>
      <c r="AN89">
        <v>4</v>
      </c>
      <c r="AO89">
        <v>33</v>
      </c>
      <c r="AP89">
        <v>7</v>
      </c>
      <c r="AQ89">
        <v>15</v>
      </c>
      <c r="AR89">
        <v>12</v>
      </c>
    </row>
    <row r="90" spans="1:44" x14ac:dyDescent="0.25">
      <c r="A90" t="s">
        <v>43</v>
      </c>
      <c r="B90" t="s">
        <v>101</v>
      </c>
      <c r="C90" t="s">
        <v>37</v>
      </c>
      <c r="D90" t="s">
        <v>91</v>
      </c>
      <c r="E90" t="s">
        <v>31</v>
      </c>
      <c r="F90" t="s">
        <v>95</v>
      </c>
      <c r="G90" t="s">
        <v>187</v>
      </c>
      <c r="H90">
        <v>644</v>
      </c>
      <c r="I90" t="s">
        <v>13</v>
      </c>
      <c r="J90" t="s">
        <v>23</v>
      </c>
      <c r="K90" t="s">
        <v>41</v>
      </c>
      <c r="L90" t="s">
        <v>43</v>
      </c>
      <c r="M90" t="s">
        <v>94</v>
      </c>
      <c r="N90">
        <v>2</v>
      </c>
      <c r="O90">
        <v>-2</v>
      </c>
      <c r="P90">
        <v>0</v>
      </c>
      <c r="Q90">
        <v>50</v>
      </c>
      <c r="R90">
        <v>0</v>
      </c>
      <c r="T90">
        <v>0</v>
      </c>
      <c r="U90">
        <v>1</v>
      </c>
      <c r="V90">
        <v>1246</v>
      </c>
      <c r="W90">
        <v>3</v>
      </c>
      <c r="X90" t="s">
        <v>16</v>
      </c>
      <c r="Y90">
        <v>1</v>
      </c>
      <c r="Z90">
        <v>1</v>
      </c>
      <c r="AA90">
        <v>99</v>
      </c>
      <c r="AB90">
        <v>3</v>
      </c>
      <c r="AC90">
        <v>5</v>
      </c>
      <c r="AD90">
        <v>3</v>
      </c>
      <c r="AE90">
        <v>18200</v>
      </c>
      <c r="AF90">
        <v>7999</v>
      </c>
      <c r="AG90">
        <v>1</v>
      </c>
      <c r="AH90">
        <v>11</v>
      </c>
      <c r="AI90">
        <v>3</v>
      </c>
      <c r="AJ90">
        <v>3</v>
      </c>
      <c r="AK90">
        <v>80</v>
      </c>
      <c r="AL90">
        <v>1</v>
      </c>
      <c r="AM90">
        <v>32</v>
      </c>
      <c r="AN90">
        <v>3</v>
      </c>
      <c r="AO90">
        <v>32</v>
      </c>
      <c r="AP90">
        <v>5</v>
      </c>
      <c r="AQ90">
        <v>10</v>
      </c>
      <c r="AR90">
        <v>7</v>
      </c>
    </row>
    <row r="91" spans="1:44" x14ac:dyDescent="0.25">
      <c r="A91" t="s">
        <v>43</v>
      </c>
      <c r="B91" t="s">
        <v>90</v>
      </c>
      <c r="C91" t="s">
        <v>36</v>
      </c>
      <c r="D91" t="s">
        <v>91</v>
      </c>
      <c r="E91" t="s">
        <v>31</v>
      </c>
      <c r="F91" t="s">
        <v>21</v>
      </c>
      <c r="G91" t="s">
        <v>188</v>
      </c>
      <c r="H91">
        <v>734</v>
      </c>
      <c r="I91" t="s">
        <v>13</v>
      </c>
      <c r="J91" t="s">
        <v>23</v>
      </c>
      <c r="K91" t="s">
        <v>41</v>
      </c>
      <c r="L91" t="s">
        <v>43</v>
      </c>
      <c r="M91" t="s">
        <v>94</v>
      </c>
      <c r="N91">
        <v>3</v>
      </c>
      <c r="O91">
        <v>-2</v>
      </c>
      <c r="P91">
        <v>0</v>
      </c>
      <c r="Q91">
        <v>41</v>
      </c>
      <c r="R91">
        <v>0</v>
      </c>
      <c r="T91">
        <v>0</v>
      </c>
      <c r="U91">
        <v>1</v>
      </c>
      <c r="V91">
        <v>314</v>
      </c>
      <c r="W91">
        <v>1</v>
      </c>
      <c r="X91" t="s">
        <v>16</v>
      </c>
      <c r="Y91">
        <v>1</v>
      </c>
      <c r="Z91">
        <v>4</v>
      </c>
      <c r="AA91">
        <v>59</v>
      </c>
      <c r="AB91">
        <v>2</v>
      </c>
      <c r="AC91">
        <v>5</v>
      </c>
      <c r="AD91">
        <v>3</v>
      </c>
      <c r="AE91">
        <v>19189</v>
      </c>
      <c r="AF91">
        <v>19562</v>
      </c>
      <c r="AG91">
        <v>1</v>
      </c>
      <c r="AH91">
        <v>12</v>
      </c>
      <c r="AI91">
        <v>3</v>
      </c>
      <c r="AJ91">
        <v>2</v>
      </c>
      <c r="AK91">
        <v>80</v>
      </c>
      <c r="AL91">
        <v>1</v>
      </c>
      <c r="AM91">
        <v>22</v>
      </c>
      <c r="AN91">
        <v>3</v>
      </c>
      <c r="AO91">
        <v>22</v>
      </c>
      <c r="AP91">
        <v>7</v>
      </c>
      <c r="AQ91">
        <v>2</v>
      </c>
      <c r="AR91">
        <v>10</v>
      </c>
    </row>
    <row r="92" spans="1:44" x14ac:dyDescent="0.25">
      <c r="A92" t="s">
        <v>43</v>
      </c>
      <c r="B92" t="s">
        <v>134</v>
      </c>
      <c r="C92" t="s">
        <v>35</v>
      </c>
      <c r="D92" t="s">
        <v>91</v>
      </c>
      <c r="E92" t="s">
        <v>33</v>
      </c>
      <c r="F92" t="s">
        <v>92</v>
      </c>
      <c r="G92" t="s">
        <v>189</v>
      </c>
      <c r="H92">
        <v>992</v>
      </c>
      <c r="I92" t="s">
        <v>13</v>
      </c>
      <c r="J92" t="s">
        <v>23</v>
      </c>
      <c r="K92" t="s">
        <v>42</v>
      </c>
      <c r="L92" t="s">
        <v>43</v>
      </c>
      <c r="M92" t="s">
        <v>94</v>
      </c>
      <c r="N92">
        <v>2</v>
      </c>
      <c r="O92">
        <v>-2</v>
      </c>
      <c r="P92">
        <v>0</v>
      </c>
      <c r="Q92">
        <v>33</v>
      </c>
      <c r="R92">
        <v>0</v>
      </c>
      <c r="T92">
        <v>0</v>
      </c>
      <c r="U92">
        <v>1</v>
      </c>
      <c r="V92">
        <v>722</v>
      </c>
      <c r="W92">
        <v>17</v>
      </c>
      <c r="X92" t="s">
        <v>16</v>
      </c>
      <c r="Y92">
        <v>1</v>
      </c>
      <c r="Z92">
        <v>4</v>
      </c>
      <c r="AA92">
        <v>38</v>
      </c>
      <c r="AB92">
        <v>3</v>
      </c>
      <c r="AC92">
        <v>4</v>
      </c>
      <c r="AD92">
        <v>1</v>
      </c>
      <c r="AE92">
        <v>17444</v>
      </c>
      <c r="AF92">
        <v>20489</v>
      </c>
      <c r="AG92">
        <v>1</v>
      </c>
      <c r="AH92">
        <v>11</v>
      </c>
      <c r="AI92">
        <v>3</v>
      </c>
      <c r="AJ92">
        <v>4</v>
      </c>
      <c r="AK92">
        <v>80</v>
      </c>
      <c r="AL92">
        <v>0</v>
      </c>
      <c r="AM92">
        <v>10</v>
      </c>
      <c r="AN92">
        <v>3</v>
      </c>
      <c r="AO92">
        <v>10</v>
      </c>
      <c r="AP92">
        <v>8</v>
      </c>
      <c r="AQ92">
        <v>6</v>
      </c>
      <c r="AR92">
        <v>0</v>
      </c>
    </row>
    <row r="93" spans="1:44" x14ac:dyDescent="0.25">
      <c r="A93" t="s">
        <v>44</v>
      </c>
      <c r="B93" t="s">
        <v>90</v>
      </c>
      <c r="C93" t="s">
        <v>37</v>
      </c>
      <c r="D93" t="s">
        <v>130</v>
      </c>
      <c r="E93" t="s">
        <v>33</v>
      </c>
      <c r="F93" t="s">
        <v>97</v>
      </c>
      <c r="G93" t="s">
        <v>190</v>
      </c>
      <c r="H93">
        <v>1038</v>
      </c>
      <c r="I93" t="s">
        <v>12</v>
      </c>
      <c r="J93" t="s">
        <v>23</v>
      </c>
      <c r="K93" t="s">
        <v>41</v>
      </c>
      <c r="L93" t="s">
        <v>43</v>
      </c>
      <c r="M93" t="s">
        <v>94</v>
      </c>
      <c r="N93">
        <v>3</v>
      </c>
      <c r="O93">
        <v>-2</v>
      </c>
      <c r="P93">
        <v>0</v>
      </c>
      <c r="Q93">
        <v>52</v>
      </c>
      <c r="R93">
        <v>1</v>
      </c>
      <c r="S93">
        <v>1</v>
      </c>
      <c r="T93">
        <v>1</v>
      </c>
      <c r="U93">
        <v>0</v>
      </c>
      <c r="V93">
        <v>266</v>
      </c>
      <c r="W93">
        <v>2</v>
      </c>
      <c r="X93" t="s">
        <v>18</v>
      </c>
      <c r="Y93">
        <v>1</v>
      </c>
      <c r="Z93">
        <v>1</v>
      </c>
      <c r="AA93">
        <v>57</v>
      </c>
      <c r="AB93">
        <v>1</v>
      </c>
      <c r="AC93">
        <v>5</v>
      </c>
      <c r="AD93">
        <v>2</v>
      </c>
      <c r="AE93">
        <v>19845</v>
      </c>
      <c r="AF93">
        <v>25846</v>
      </c>
      <c r="AG93">
        <v>1</v>
      </c>
      <c r="AH93">
        <v>15</v>
      </c>
      <c r="AI93">
        <v>3</v>
      </c>
      <c r="AJ93">
        <v>4</v>
      </c>
      <c r="AK93">
        <v>80</v>
      </c>
      <c r="AL93">
        <v>1</v>
      </c>
      <c r="AM93">
        <v>33</v>
      </c>
      <c r="AN93">
        <v>3</v>
      </c>
      <c r="AO93">
        <v>32</v>
      </c>
      <c r="AP93">
        <v>14</v>
      </c>
      <c r="AQ93">
        <v>6</v>
      </c>
      <c r="AR93">
        <v>9</v>
      </c>
    </row>
    <row r="94" spans="1:44" x14ac:dyDescent="0.25">
      <c r="A94" t="s">
        <v>43</v>
      </c>
      <c r="B94" t="s">
        <v>90</v>
      </c>
      <c r="C94" t="s">
        <v>36</v>
      </c>
      <c r="D94" t="s">
        <v>91</v>
      </c>
      <c r="E94" t="s">
        <v>33</v>
      </c>
      <c r="F94" t="s">
        <v>95</v>
      </c>
      <c r="G94" t="s">
        <v>191</v>
      </c>
      <c r="H94">
        <v>1740</v>
      </c>
      <c r="I94" t="s">
        <v>13</v>
      </c>
      <c r="J94" t="s">
        <v>23</v>
      </c>
      <c r="K94" t="s">
        <v>42</v>
      </c>
      <c r="L94" t="s">
        <v>43</v>
      </c>
      <c r="M94" t="s">
        <v>94</v>
      </c>
      <c r="N94">
        <v>3</v>
      </c>
      <c r="O94">
        <v>-2</v>
      </c>
      <c r="P94">
        <v>0</v>
      </c>
      <c r="Q94">
        <v>40</v>
      </c>
      <c r="R94">
        <v>0</v>
      </c>
      <c r="T94">
        <v>0</v>
      </c>
      <c r="U94">
        <v>1</v>
      </c>
      <c r="V94">
        <v>611</v>
      </c>
      <c r="W94">
        <v>7</v>
      </c>
      <c r="X94" t="s">
        <v>19</v>
      </c>
      <c r="Y94">
        <v>1</v>
      </c>
      <c r="Z94">
        <v>2</v>
      </c>
      <c r="AA94">
        <v>88</v>
      </c>
      <c r="AB94">
        <v>3</v>
      </c>
      <c r="AC94">
        <v>5</v>
      </c>
      <c r="AD94">
        <v>2</v>
      </c>
      <c r="AE94">
        <v>19833</v>
      </c>
      <c r="AF94">
        <v>4349</v>
      </c>
      <c r="AG94">
        <v>1</v>
      </c>
      <c r="AH94">
        <v>14</v>
      </c>
      <c r="AI94">
        <v>3</v>
      </c>
      <c r="AJ94">
        <v>2</v>
      </c>
      <c r="AK94">
        <v>80</v>
      </c>
      <c r="AL94">
        <v>0</v>
      </c>
      <c r="AM94">
        <v>21</v>
      </c>
      <c r="AN94">
        <v>2</v>
      </c>
      <c r="AO94">
        <v>21</v>
      </c>
      <c r="AP94">
        <v>8</v>
      </c>
      <c r="AQ94">
        <v>12</v>
      </c>
      <c r="AR94">
        <v>8</v>
      </c>
    </row>
    <row r="95" spans="1:44" x14ac:dyDescent="0.25">
      <c r="A95" t="s">
        <v>43</v>
      </c>
      <c r="B95" t="s">
        <v>90</v>
      </c>
      <c r="C95" t="s">
        <v>38</v>
      </c>
      <c r="D95" t="s">
        <v>91</v>
      </c>
      <c r="E95" t="s">
        <v>33</v>
      </c>
      <c r="F95" t="s">
        <v>97</v>
      </c>
      <c r="G95" t="s">
        <v>192</v>
      </c>
      <c r="H95">
        <v>1578</v>
      </c>
      <c r="I95" t="s">
        <v>13</v>
      </c>
      <c r="J95" t="s">
        <v>23</v>
      </c>
      <c r="K95" t="s">
        <v>41</v>
      </c>
      <c r="L95" t="s">
        <v>43</v>
      </c>
      <c r="M95" t="s">
        <v>94</v>
      </c>
      <c r="N95">
        <v>3</v>
      </c>
      <c r="O95">
        <v>-2</v>
      </c>
      <c r="P95">
        <v>0</v>
      </c>
      <c r="Q95">
        <v>55</v>
      </c>
      <c r="R95">
        <v>0</v>
      </c>
      <c r="T95">
        <v>0</v>
      </c>
      <c r="U95">
        <v>1</v>
      </c>
      <c r="V95">
        <v>685</v>
      </c>
      <c r="W95">
        <v>26</v>
      </c>
      <c r="X95" t="s">
        <v>17</v>
      </c>
      <c r="Y95">
        <v>1</v>
      </c>
      <c r="Z95">
        <v>3</v>
      </c>
      <c r="AA95">
        <v>60</v>
      </c>
      <c r="AB95">
        <v>2</v>
      </c>
      <c r="AC95">
        <v>5</v>
      </c>
      <c r="AD95">
        <v>1</v>
      </c>
      <c r="AE95">
        <v>19586</v>
      </c>
      <c r="AF95">
        <v>23037</v>
      </c>
      <c r="AG95">
        <v>1</v>
      </c>
      <c r="AH95">
        <v>21</v>
      </c>
      <c r="AI95">
        <v>4</v>
      </c>
      <c r="AJ95">
        <v>3</v>
      </c>
      <c r="AK95">
        <v>80</v>
      </c>
      <c r="AL95">
        <v>1</v>
      </c>
      <c r="AM95">
        <v>36</v>
      </c>
      <c r="AN95">
        <v>3</v>
      </c>
      <c r="AO95">
        <v>36</v>
      </c>
      <c r="AP95">
        <v>6</v>
      </c>
      <c r="AQ95">
        <v>2</v>
      </c>
      <c r="AR95">
        <v>13</v>
      </c>
    </row>
    <row r="96" spans="1:44" x14ac:dyDescent="0.25">
      <c r="A96" t="s">
        <v>43</v>
      </c>
      <c r="B96" t="s">
        <v>90</v>
      </c>
      <c r="C96" t="s">
        <v>36</v>
      </c>
      <c r="D96" t="s">
        <v>91</v>
      </c>
      <c r="E96" t="s">
        <v>31</v>
      </c>
      <c r="F96" t="s">
        <v>95</v>
      </c>
      <c r="G96" t="s">
        <v>193</v>
      </c>
      <c r="H96">
        <v>1550</v>
      </c>
      <c r="I96" t="s">
        <v>13</v>
      </c>
      <c r="J96" t="s">
        <v>23</v>
      </c>
      <c r="K96" t="s">
        <v>42</v>
      </c>
      <c r="L96" t="s">
        <v>44</v>
      </c>
      <c r="M96" t="s">
        <v>94</v>
      </c>
      <c r="N96">
        <v>2</v>
      </c>
      <c r="O96">
        <v>-2</v>
      </c>
      <c r="P96">
        <v>0</v>
      </c>
      <c r="Q96">
        <v>40</v>
      </c>
      <c r="R96">
        <v>0</v>
      </c>
      <c r="T96">
        <v>0</v>
      </c>
      <c r="U96">
        <v>1</v>
      </c>
      <c r="V96">
        <v>898</v>
      </c>
      <c r="W96">
        <v>6</v>
      </c>
      <c r="X96" t="s">
        <v>15</v>
      </c>
      <c r="Y96">
        <v>1</v>
      </c>
      <c r="Z96">
        <v>3</v>
      </c>
      <c r="AA96">
        <v>38</v>
      </c>
      <c r="AB96">
        <v>3</v>
      </c>
      <c r="AC96">
        <v>4</v>
      </c>
      <c r="AD96">
        <v>4</v>
      </c>
      <c r="AE96">
        <v>16437</v>
      </c>
      <c r="AF96">
        <v>17381</v>
      </c>
      <c r="AG96">
        <v>1</v>
      </c>
      <c r="AH96">
        <v>21</v>
      </c>
      <c r="AI96">
        <v>4</v>
      </c>
      <c r="AJ96">
        <v>4</v>
      </c>
      <c r="AK96">
        <v>80</v>
      </c>
      <c r="AL96">
        <v>0</v>
      </c>
      <c r="AM96">
        <v>21</v>
      </c>
      <c r="AN96">
        <v>3</v>
      </c>
      <c r="AO96">
        <v>21</v>
      </c>
      <c r="AP96">
        <v>7</v>
      </c>
      <c r="AQ96">
        <v>7</v>
      </c>
      <c r="AR96">
        <v>7</v>
      </c>
    </row>
    <row r="97" spans="1:44" x14ac:dyDescent="0.25">
      <c r="A97" t="s">
        <v>44</v>
      </c>
      <c r="B97" t="s">
        <v>134</v>
      </c>
      <c r="C97" t="s">
        <v>37</v>
      </c>
      <c r="D97" t="s">
        <v>130</v>
      </c>
      <c r="E97" t="s">
        <v>32</v>
      </c>
      <c r="F97" t="s">
        <v>92</v>
      </c>
      <c r="G97" t="s">
        <v>194</v>
      </c>
      <c r="H97">
        <v>376</v>
      </c>
      <c r="I97" t="s">
        <v>13</v>
      </c>
      <c r="J97" t="s">
        <v>23</v>
      </c>
      <c r="K97" t="s">
        <v>41</v>
      </c>
      <c r="L97" t="s">
        <v>44</v>
      </c>
      <c r="M97" t="s">
        <v>94</v>
      </c>
      <c r="N97">
        <v>2</v>
      </c>
      <c r="O97">
        <v>-2</v>
      </c>
      <c r="P97">
        <v>0</v>
      </c>
      <c r="Q97">
        <v>47</v>
      </c>
      <c r="R97">
        <v>1</v>
      </c>
      <c r="S97">
        <v>1</v>
      </c>
      <c r="T97">
        <v>1</v>
      </c>
      <c r="U97">
        <v>0</v>
      </c>
      <c r="V97">
        <v>666</v>
      </c>
      <c r="W97">
        <v>29</v>
      </c>
      <c r="X97" t="s">
        <v>19</v>
      </c>
      <c r="Y97">
        <v>1</v>
      </c>
      <c r="Z97">
        <v>1</v>
      </c>
      <c r="AA97">
        <v>88</v>
      </c>
      <c r="AB97">
        <v>3</v>
      </c>
      <c r="AC97">
        <v>3</v>
      </c>
      <c r="AD97">
        <v>2</v>
      </c>
      <c r="AE97">
        <v>11849</v>
      </c>
      <c r="AF97">
        <v>10268</v>
      </c>
      <c r="AG97">
        <v>1</v>
      </c>
      <c r="AH97">
        <v>12</v>
      </c>
      <c r="AI97">
        <v>3</v>
      </c>
      <c r="AJ97">
        <v>4</v>
      </c>
      <c r="AK97">
        <v>80</v>
      </c>
      <c r="AL97">
        <v>1</v>
      </c>
      <c r="AM97">
        <v>10</v>
      </c>
      <c r="AN97">
        <v>2</v>
      </c>
      <c r="AO97">
        <v>10</v>
      </c>
      <c r="AP97">
        <v>7</v>
      </c>
      <c r="AQ97">
        <v>9</v>
      </c>
      <c r="AR97">
        <v>9</v>
      </c>
    </row>
    <row r="98" spans="1:44" x14ac:dyDescent="0.25">
      <c r="A98" t="s">
        <v>43</v>
      </c>
      <c r="B98" t="s">
        <v>90</v>
      </c>
      <c r="C98" t="s">
        <v>36</v>
      </c>
      <c r="D98" t="s">
        <v>91</v>
      </c>
      <c r="E98" t="s">
        <v>32</v>
      </c>
      <c r="F98" t="s">
        <v>95</v>
      </c>
      <c r="G98" t="s">
        <v>195</v>
      </c>
      <c r="H98">
        <v>253</v>
      </c>
      <c r="I98" t="s">
        <v>12</v>
      </c>
      <c r="J98" t="s">
        <v>23</v>
      </c>
      <c r="K98" t="s">
        <v>41</v>
      </c>
      <c r="L98" t="s">
        <v>43</v>
      </c>
      <c r="M98" t="s">
        <v>94</v>
      </c>
      <c r="N98">
        <v>2</v>
      </c>
      <c r="O98">
        <v>-2</v>
      </c>
      <c r="P98">
        <v>0</v>
      </c>
      <c r="Q98">
        <v>40</v>
      </c>
      <c r="R98">
        <v>0</v>
      </c>
      <c r="T98">
        <v>0</v>
      </c>
      <c r="U98">
        <v>1</v>
      </c>
      <c r="V98">
        <v>989</v>
      </c>
      <c r="W98">
        <v>4</v>
      </c>
      <c r="X98" t="s">
        <v>18</v>
      </c>
      <c r="Y98">
        <v>1</v>
      </c>
      <c r="Z98">
        <v>4</v>
      </c>
      <c r="AA98">
        <v>46</v>
      </c>
      <c r="AB98">
        <v>3</v>
      </c>
      <c r="AC98">
        <v>5</v>
      </c>
      <c r="AD98">
        <v>3</v>
      </c>
      <c r="AE98">
        <v>19033</v>
      </c>
      <c r="AF98">
        <v>6499</v>
      </c>
      <c r="AG98">
        <v>1</v>
      </c>
      <c r="AH98">
        <v>14</v>
      </c>
      <c r="AI98">
        <v>3</v>
      </c>
      <c r="AJ98">
        <v>2</v>
      </c>
      <c r="AK98">
        <v>80</v>
      </c>
      <c r="AL98">
        <v>1</v>
      </c>
      <c r="AM98">
        <v>21</v>
      </c>
      <c r="AN98">
        <v>3</v>
      </c>
      <c r="AO98">
        <v>20</v>
      </c>
      <c r="AP98">
        <v>8</v>
      </c>
      <c r="AQ98">
        <v>9</v>
      </c>
      <c r="AR98">
        <v>9</v>
      </c>
    </row>
    <row r="99" spans="1:44" x14ac:dyDescent="0.25">
      <c r="A99" t="s">
        <v>43</v>
      </c>
      <c r="B99" t="s">
        <v>90</v>
      </c>
      <c r="C99" t="s">
        <v>36</v>
      </c>
      <c r="D99" t="s">
        <v>91</v>
      </c>
      <c r="E99" t="s">
        <v>32</v>
      </c>
      <c r="F99" t="s">
        <v>110</v>
      </c>
      <c r="G99" t="s">
        <v>196</v>
      </c>
      <c r="H99">
        <v>319</v>
      </c>
      <c r="I99" t="s">
        <v>13</v>
      </c>
      <c r="J99" t="s">
        <v>23</v>
      </c>
      <c r="K99" t="s">
        <v>41</v>
      </c>
      <c r="L99" t="s">
        <v>43</v>
      </c>
      <c r="M99" t="s">
        <v>94</v>
      </c>
      <c r="N99">
        <v>3</v>
      </c>
      <c r="O99">
        <v>-2</v>
      </c>
      <c r="P99">
        <v>0</v>
      </c>
      <c r="Q99">
        <v>42</v>
      </c>
      <c r="R99">
        <v>0</v>
      </c>
      <c r="T99">
        <v>0</v>
      </c>
      <c r="U99">
        <v>1</v>
      </c>
      <c r="V99">
        <v>532</v>
      </c>
      <c r="W99">
        <v>4</v>
      </c>
      <c r="X99" t="s">
        <v>15</v>
      </c>
      <c r="Y99">
        <v>1</v>
      </c>
      <c r="Z99">
        <v>3</v>
      </c>
      <c r="AA99">
        <v>58</v>
      </c>
      <c r="AB99">
        <v>3</v>
      </c>
      <c r="AC99">
        <v>5</v>
      </c>
      <c r="AD99">
        <v>4</v>
      </c>
      <c r="AE99">
        <v>19232</v>
      </c>
      <c r="AF99">
        <v>4933</v>
      </c>
      <c r="AG99">
        <v>1</v>
      </c>
      <c r="AH99">
        <v>11</v>
      </c>
      <c r="AI99">
        <v>3</v>
      </c>
      <c r="AJ99">
        <v>4</v>
      </c>
      <c r="AK99">
        <v>80</v>
      </c>
      <c r="AL99">
        <v>0</v>
      </c>
      <c r="AM99">
        <v>22</v>
      </c>
      <c r="AN99">
        <v>3</v>
      </c>
      <c r="AO99">
        <v>22</v>
      </c>
      <c r="AP99">
        <v>17</v>
      </c>
      <c r="AQ99">
        <v>11</v>
      </c>
      <c r="AR99">
        <v>15</v>
      </c>
    </row>
    <row r="100" spans="1:44" x14ac:dyDescent="0.25">
      <c r="A100" t="s">
        <v>43</v>
      </c>
      <c r="B100" t="s">
        <v>90</v>
      </c>
      <c r="C100" t="s">
        <v>36</v>
      </c>
      <c r="D100" t="s">
        <v>91</v>
      </c>
      <c r="E100" t="s">
        <v>32</v>
      </c>
      <c r="F100" t="s">
        <v>95</v>
      </c>
      <c r="G100" t="s">
        <v>197</v>
      </c>
      <c r="H100">
        <v>429</v>
      </c>
      <c r="I100" t="s">
        <v>13</v>
      </c>
      <c r="J100" t="s">
        <v>23</v>
      </c>
      <c r="K100" t="s">
        <v>41</v>
      </c>
      <c r="L100" t="s">
        <v>44</v>
      </c>
      <c r="M100" t="s">
        <v>94</v>
      </c>
      <c r="N100">
        <v>3</v>
      </c>
      <c r="O100">
        <v>-2</v>
      </c>
      <c r="P100">
        <v>0</v>
      </c>
      <c r="Q100">
        <v>39</v>
      </c>
      <c r="R100">
        <v>0</v>
      </c>
      <c r="T100">
        <v>0</v>
      </c>
      <c r="U100">
        <v>1</v>
      </c>
      <c r="V100">
        <v>117</v>
      </c>
      <c r="W100">
        <v>10</v>
      </c>
      <c r="X100" t="s">
        <v>18</v>
      </c>
      <c r="Y100">
        <v>1</v>
      </c>
      <c r="Z100">
        <v>3</v>
      </c>
      <c r="AA100">
        <v>99</v>
      </c>
      <c r="AB100">
        <v>3</v>
      </c>
      <c r="AC100">
        <v>4</v>
      </c>
      <c r="AD100">
        <v>3</v>
      </c>
      <c r="AE100">
        <v>17068</v>
      </c>
      <c r="AF100">
        <v>5355</v>
      </c>
      <c r="AG100">
        <v>1</v>
      </c>
      <c r="AH100">
        <v>14</v>
      </c>
      <c r="AI100">
        <v>3</v>
      </c>
      <c r="AJ100">
        <v>4</v>
      </c>
      <c r="AK100">
        <v>80</v>
      </c>
      <c r="AL100">
        <v>0</v>
      </c>
      <c r="AM100">
        <v>21</v>
      </c>
      <c r="AN100">
        <v>3</v>
      </c>
      <c r="AO100">
        <v>21</v>
      </c>
      <c r="AP100">
        <v>9</v>
      </c>
      <c r="AQ100">
        <v>11</v>
      </c>
      <c r="AR100">
        <v>10</v>
      </c>
    </row>
    <row r="101" spans="1:44" x14ac:dyDescent="0.25">
      <c r="A101" t="s">
        <v>43</v>
      </c>
      <c r="B101" t="s">
        <v>101</v>
      </c>
      <c r="C101" t="s">
        <v>36</v>
      </c>
      <c r="D101" t="s">
        <v>91</v>
      </c>
      <c r="E101" t="s">
        <v>32</v>
      </c>
      <c r="F101" t="s">
        <v>95</v>
      </c>
      <c r="G101" t="s">
        <v>198</v>
      </c>
      <c r="H101">
        <v>444</v>
      </c>
      <c r="I101" t="s">
        <v>13</v>
      </c>
      <c r="J101" t="s">
        <v>23</v>
      </c>
      <c r="K101" t="s">
        <v>41</v>
      </c>
      <c r="L101" t="s">
        <v>43</v>
      </c>
      <c r="M101" t="s">
        <v>94</v>
      </c>
      <c r="N101">
        <v>2</v>
      </c>
      <c r="O101">
        <v>-2</v>
      </c>
      <c r="P101">
        <v>0</v>
      </c>
      <c r="Q101">
        <v>39</v>
      </c>
      <c r="R101">
        <v>0</v>
      </c>
      <c r="T101">
        <v>0</v>
      </c>
      <c r="U101">
        <v>1</v>
      </c>
      <c r="V101">
        <v>672</v>
      </c>
      <c r="W101">
        <v>7</v>
      </c>
      <c r="X101" t="s">
        <v>15</v>
      </c>
      <c r="Y101">
        <v>1</v>
      </c>
      <c r="Z101">
        <v>3</v>
      </c>
      <c r="AA101">
        <v>54</v>
      </c>
      <c r="AB101">
        <v>2</v>
      </c>
      <c r="AC101">
        <v>5</v>
      </c>
      <c r="AD101">
        <v>4</v>
      </c>
      <c r="AE101">
        <v>19272</v>
      </c>
      <c r="AF101">
        <v>21141</v>
      </c>
      <c r="AG101">
        <v>1</v>
      </c>
      <c r="AH101">
        <v>15</v>
      </c>
      <c r="AI101">
        <v>3</v>
      </c>
      <c r="AJ101">
        <v>1</v>
      </c>
      <c r="AK101">
        <v>80</v>
      </c>
      <c r="AL101">
        <v>1</v>
      </c>
      <c r="AM101">
        <v>21</v>
      </c>
      <c r="AN101">
        <v>3</v>
      </c>
      <c r="AO101">
        <v>21</v>
      </c>
      <c r="AP101">
        <v>9</v>
      </c>
      <c r="AQ101">
        <v>13</v>
      </c>
      <c r="AR101">
        <v>3</v>
      </c>
    </row>
    <row r="102" spans="1:44" x14ac:dyDescent="0.25">
      <c r="A102" t="s">
        <v>43</v>
      </c>
      <c r="B102" t="s">
        <v>101</v>
      </c>
      <c r="C102" t="s">
        <v>36</v>
      </c>
      <c r="D102" t="s">
        <v>91</v>
      </c>
      <c r="E102" t="s">
        <v>32</v>
      </c>
      <c r="F102" t="s">
        <v>92</v>
      </c>
      <c r="G102" t="s">
        <v>199</v>
      </c>
      <c r="H102">
        <v>809</v>
      </c>
      <c r="I102" t="s">
        <v>13</v>
      </c>
      <c r="J102" t="s">
        <v>23</v>
      </c>
      <c r="K102" t="s">
        <v>40</v>
      </c>
      <c r="L102" t="s">
        <v>43</v>
      </c>
      <c r="M102" t="s">
        <v>94</v>
      </c>
      <c r="N102">
        <v>4</v>
      </c>
      <c r="O102">
        <v>-2</v>
      </c>
      <c r="P102">
        <v>0</v>
      </c>
      <c r="Q102">
        <v>42</v>
      </c>
      <c r="R102">
        <v>0</v>
      </c>
      <c r="T102">
        <v>0</v>
      </c>
      <c r="U102">
        <v>1</v>
      </c>
      <c r="V102">
        <v>570</v>
      </c>
      <c r="W102">
        <v>8</v>
      </c>
      <c r="X102" t="s">
        <v>16</v>
      </c>
      <c r="Y102">
        <v>1</v>
      </c>
      <c r="Z102">
        <v>2</v>
      </c>
      <c r="AA102">
        <v>66</v>
      </c>
      <c r="AB102">
        <v>3</v>
      </c>
      <c r="AC102">
        <v>5</v>
      </c>
      <c r="AD102">
        <v>1</v>
      </c>
      <c r="AE102">
        <v>18430</v>
      </c>
      <c r="AF102">
        <v>16225</v>
      </c>
      <c r="AG102">
        <v>1</v>
      </c>
      <c r="AH102">
        <v>13</v>
      </c>
      <c r="AI102">
        <v>3</v>
      </c>
      <c r="AJ102">
        <v>2</v>
      </c>
      <c r="AK102">
        <v>80</v>
      </c>
      <c r="AL102">
        <v>1</v>
      </c>
      <c r="AM102">
        <v>24</v>
      </c>
      <c r="AN102">
        <v>2</v>
      </c>
      <c r="AO102">
        <v>24</v>
      </c>
      <c r="AP102">
        <v>7</v>
      </c>
      <c r="AQ102">
        <v>14</v>
      </c>
      <c r="AR102">
        <v>9</v>
      </c>
    </row>
    <row r="103" spans="1:44" x14ac:dyDescent="0.25">
      <c r="A103" t="s">
        <v>43</v>
      </c>
      <c r="B103" t="s">
        <v>90</v>
      </c>
      <c r="C103" t="s">
        <v>37</v>
      </c>
      <c r="D103" t="s">
        <v>91</v>
      </c>
      <c r="E103" t="s">
        <v>32</v>
      </c>
      <c r="F103" t="s">
        <v>118</v>
      </c>
      <c r="G103" t="s">
        <v>200</v>
      </c>
      <c r="H103">
        <v>820</v>
      </c>
      <c r="I103" t="s">
        <v>12</v>
      </c>
      <c r="J103" t="s">
        <v>23</v>
      </c>
      <c r="K103" t="s">
        <v>41</v>
      </c>
      <c r="L103" t="s">
        <v>44</v>
      </c>
      <c r="M103" t="s">
        <v>94</v>
      </c>
      <c r="N103">
        <v>3</v>
      </c>
      <c r="O103">
        <v>-2</v>
      </c>
      <c r="P103">
        <v>0</v>
      </c>
      <c r="Q103">
        <v>47</v>
      </c>
      <c r="R103">
        <v>0</v>
      </c>
      <c r="T103">
        <v>0</v>
      </c>
      <c r="U103">
        <v>1</v>
      </c>
      <c r="V103">
        <v>202</v>
      </c>
      <c r="W103">
        <v>2</v>
      </c>
      <c r="X103" t="s">
        <v>15</v>
      </c>
      <c r="Y103">
        <v>1</v>
      </c>
      <c r="Z103">
        <v>3</v>
      </c>
      <c r="AA103">
        <v>33</v>
      </c>
      <c r="AB103">
        <v>3</v>
      </c>
      <c r="AC103">
        <v>4</v>
      </c>
      <c r="AD103">
        <v>4</v>
      </c>
      <c r="AE103">
        <v>16752</v>
      </c>
      <c r="AF103">
        <v>12982</v>
      </c>
      <c r="AG103">
        <v>1</v>
      </c>
      <c r="AH103">
        <v>11</v>
      </c>
      <c r="AI103">
        <v>3</v>
      </c>
      <c r="AJ103">
        <v>3</v>
      </c>
      <c r="AK103">
        <v>80</v>
      </c>
      <c r="AL103">
        <v>1</v>
      </c>
      <c r="AM103">
        <v>26</v>
      </c>
      <c r="AN103">
        <v>2</v>
      </c>
      <c r="AO103">
        <v>26</v>
      </c>
      <c r="AP103">
        <v>14</v>
      </c>
      <c r="AQ103">
        <v>3</v>
      </c>
      <c r="AR103">
        <v>0</v>
      </c>
    </row>
    <row r="104" spans="1:44" x14ac:dyDescent="0.25">
      <c r="A104" t="s">
        <v>43</v>
      </c>
      <c r="B104" t="s">
        <v>134</v>
      </c>
      <c r="C104" t="s">
        <v>37</v>
      </c>
      <c r="D104" t="s">
        <v>91</v>
      </c>
      <c r="E104" t="s">
        <v>32</v>
      </c>
      <c r="F104" t="s">
        <v>92</v>
      </c>
      <c r="G104" t="s">
        <v>201</v>
      </c>
      <c r="H104">
        <v>905</v>
      </c>
      <c r="I104" t="s">
        <v>13</v>
      </c>
      <c r="J104" t="s">
        <v>23</v>
      </c>
      <c r="K104" t="s">
        <v>40</v>
      </c>
      <c r="L104" t="s">
        <v>43</v>
      </c>
      <c r="M104" t="s">
        <v>94</v>
      </c>
      <c r="N104">
        <v>3</v>
      </c>
      <c r="O104">
        <v>-2</v>
      </c>
      <c r="P104">
        <v>0</v>
      </c>
      <c r="Q104">
        <v>50</v>
      </c>
      <c r="R104">
        <v>0</v>
      </c>
      <c r="T104">
        <v>0</v>
      </c>
      <c r="U104">
        <v>1</v>
      </c>
      <c r="V104">
        <v>881</v>
      </c>
      <c r="W104">
        <v>2</v>
      </c>
      <c r="X104" t="s">
        <v>19</v>
      </c>
      <c r="Y104">
        <v>1</v>
      </c>
      <c r="Z104">
        <v>1</v>
      </c>
      <c r="AA104">
        <v>98</v>
      </c>
      <c r="AB104">
        <v>3</v>
      </c>
      <c r="AC104">
        <v>4</v>
      </c>
      <c r="AD104">
        <v>1</v>
      </c>
      <c r="AE104">
        <v>17924</v>
      </c>
      <c r="AF104">
        <v>4544</v>
      </c>
      <c r="AG104">
        <v>1</v>
      </c>
      <c r="AH104">
        <v>11</v>
      </c>
      <c r="AI104">
        <v>3</v>
      </c>
      <c r="AJ104">
        <v>4</v>
      </c>
      <c r="AK104">
        <v>80</v>
      </c>
      <c r="AL104">
        <v>1</v>
      </c>
      <c r="AM104">
        <v>31</v>
      </c>
      <c r="AN104">
        <v>3</v>
      </c>
      <c r="AO104">
        <v>31</v>
      </c>
      <c r="AP104">
        <v>6</v>
      </c>
      <c r="AQ104">
        <v>14</v>
      </c>
      <c r="AR104">
        <v>7</v>
      </c>
    </row>
    <row r="105" spans="1:44" x14ac:dyDescent="0.25">
      <c r="A105" t="s">
        <v>43</v>
      </c>
      <c r="B105" t="s">
        <v>90</v>
      </c>
      <c r="C105" t="s">
        <v>36</v>
      </c>
      <c r="D105" t="s">
        <v>91</v>
      </c>
      <c r="E105" t="s">
        <v>32</v>
      </c>
      <c r="F105" t="s">
        <v>92</v>
      </c>
      <c r="G105" t="s">
        <v>202</v>
      </c>
      <c r="H105">
        <v>1288</v>
      </c>
      <c r="I105" t="s">
        <v>13</v>
      </c>
      <c r="J105" t="s">
        <v>23</v>
      </c>
      <c r="K105" t="s">
        <v>40</v>
      </c>
      <c r="L105" t="s">
        <v>43</v>
      </c>
      <c r="M105" t="s">
        <v>94</v>
      </c>
      <c r="N105">
        <v>4</v>
      </c>
      <c r="O105">
        <v>-2</v>
      </c>
      <c r="P105">
        <v>0</v>
      </c>
      <c r="Q105">
        <v>44</v>
      </c>
      <c r="R105">
        <v>0</v>
      </c>
      <c r="T105">
        <v>0</v>
      </c>
      <c r="U105">
        <v>1</v>
      </c>
      <c r="V105">
        <v>1199</v>
      </c>
      <c r="W105">
        <v>4</v>
      </c>
      <c r="X105" t="s">
        <v>15</v>
      </c>
      <c r="Y105">
        <v>1</v>
      </c>
      <c r="Z105">
        <v>3</v>
      </c>
      <c r="AA105">
        <v>92</v>
      </c>
      <c r="AB105">
        <v>4</v>
      </c>
      <c r="AC105">
        <v>5</v>
      </c>
      <c r="AD105">
        <v>3</v>
      </c>
      <c r="AE105">
        <v>19190</v>
      </c>
      <c r="AF105">
        <v>17477</v>
      </c>
      <c r="AG105">
        <v>1</v>
      </c>
      <c r="AH105">
        <v>14</v>
      </c>
      <c r="AI105">
        <v>3</v>
      </c>
      <c r="AJ105">
        <v>4</v>
      </c>
      <c r="AK105">
        <v>80</v>
      </c>
      <c r="AL105">
        <v>2</v>
      </c>
      <c r="AM105">
        <v>26</v>
      </c>
      <c r="AN105">
        <v>2</v>
      </c>
      <c r="AO105">
        <v>25</v>
      </c>
      <c r="AP105">
        <v>9</v>
      </c>
      <c r="AQ105">
        <v>14</v>
      </c>
      <c r="AR105">
        <v>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E7C16-520A-406E-940A-CF82D2B4238D}">
  <dimension ref="A1:F11"/>
  <sheetViews>
    <sheetView workbookViewId="0">
      <selection activeCell="I7" sqref="I7"/>
    </sheetView>
  </sheetViews>
  <sheetFormatPr defaultRowHeight="15" x14ac:dyDescent="0.25"/>
  <cols>
    <col min="1" max="1" width="25" bestFit="1" customWidth="1"/>
    <col min="2" max="2" width="23.85546875" bestFit="1" customWidth="1"/>
    <col min="5" max="5" width="26" customWidth="1"/>
    <col min="6" max="6" width="18.5703125" customWidth="1"/>
  </cols>
  <sheetData>
    <row r="1" spans="1:6" x14ac:dyDescent="0.25">
      <c r="A1" s="4" t="s">
        <v>11</v>
      </c>
      <c r="B1" t="s">
        <v>1</v>
      </c>
      <c r="E1" t="s">
        <v>29</v>
      </c>
      <c r="F1" t="s">
        <v>30</v>
      </c>
    </row>
    <row r="2" spans="1:6" x14ac:dyDescent="0.25">
      <c r="A2" s="5" t="s">
        <v>22</v>
      </c>
      <c r="B2" s="10">
        <v>62</v>
      </c>
      <c r="E2" t="str">
        <f>A2</f>
        <v>Laboratory Technician</v>
      </c>
      <c r="F2">
        <v>9</v>
      </c>
    </row>
    <row r="3" spans="1:6" x14ac:dyDescent="0.25">
      <c r="A3" s="5" t="s">
        <v>27</v>
      </c>
      <c r="B3" s="10">
        <v>57</v>
      </c>
      <c r="E3" t="str">
        <f>A3</f>
        <v>Sales Executive</v>
      </c>
      <c r="F3">
        <v>12</v>
      </c>
    </row>
    <row r="4" spans="1:6" x14ac:dyDescent="0.25">
      <c r="A4" s="5" t="s">
        <v>26</v>
      </c>
      <c r="B4" s="10">
        <v>47</v>
      </c>
      <c r="E4" t="str">
        <f t="shared" ref="E4:E10" si="0">A4</f>
        <v>Research Scientist</v>
      </c>
      <c r="F4">
        <v>62</v>
      </c>
    </row>
    <row r="5" spans="1:6" x14ac:dyDescent="0.25">
      <c r="A5" s="5" t="s">
        <v>28</v>
      </c>
      <c r="B5" s="10">
        <v>33</v>
      </c>
      <c r="E5" t="str">
        <f t="shared" si="0"/>
        <v>Sales Representative</v>
      </c>
      <c r="F5">
        <v>5</v>
      </c>
    </row>
    <row r="6" spans="1:6" x14ac:dyDescent="0.25">
      <c r="A6" s="5" t="s">
        <v>21</v>
      </c>
      <c r="B6" s="10">
        <v>12</v>
      </c>
      <c r="E6" t="str">
        <f t="shared" si="0"/>
        <v>Human Resources</v>
      </c>
      <c r="F6">
        <v>10</v>
      </c>
    </row>
    <row r="7" spans="1:6" x14ac:dyDescent="0.25">
      <c r="A7" s="5" t="s">
        <v>24</v>
      </c>
      <c r="B7" s="10">
        <v>10</v>
      </c>
      <c r="E7" t="str">
        <f t="shared" si="0"/>
        <v>Manufacturing Director</v>
      </c>
      <c r="F7">
        <v>2</v>
      </c>
    </row>
    <row r="8" spans="1:6" x14ac:dyDescent="0.25">
      <c r="A8" s="5" t="s">
        <v>20</v>
      </c>
      <c r="B8" s="10">
        <v>9</v>
      </c>
      <c r="E8" t="str">
        <f t="shared" si="0"/>
        <v>Healthcare Representative</v>
      </c>
      <c r="F8">
        <v>47</v>
      </c>
    </row>
    <row r="9" spans="1:6" x14ac:dyDescent="0.25">
      <c r="A9" s="5" t="s">
        <v>23</v>
      </c>
      <c r="B9" s="10">
        <v>5</v>
      </c>
      <c r="E9" t="str">
        <f t="shared" si="0"/>
        <v>Manager</v>
      </c>
      <c r="F9">
        <v>57</v>
      </c>
    </row>
    <row r="10" spans="1:6" x14ac:dyDescent="0.25">
      <c r="A10" s="5" t="s">
        <v>25</v>
      </c>
      <c r="B10" s="10">
        <v>2</v>
      </c>
      <c r="E10" t="str">
        <f t="shared" si="0"/>
        <v>Research Director</v>
      </c>
      <c r="F10">
        <v>33</v>
      </c>
    </row>
    <row r="11" spans="1:6" x14ac:dyDescent="0.25">
      <c r="A11" s="5" t="s">
        <v>14</v>
      </c>
      <c r="B11" s="1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81E00-A141-4BEE-9E52-753582A9AAC4}">
  <dimension ref="A1:C5"/>
  <sheetViews>
    <sheetView workbookViewId="0">
      <selection activeCell="A2" sqref="A2"/>
    </sheetView>
  </sheetViews>
  <sheetFormatPr defaultRowHeight="15" x14ac:dyDescent="0.25"/>
  <cols>
    <col min="1" max="1" width="25.140625" bestFit="1" customWidth="1"/>
  </cols>
  <sheetData>
    <row r="1" spans="1:3" x14ac:dyDescent="0.25">
      <c r="A1" t="s">
        <v>8</v>
      </c>
    </row>
    <row r="2" spans="1:3" x14ac:dyDescent="0.25">
      <c r="A2" s="3">
        <v>2.4599156118143459</v>
      </c>
    </row>
    <row r="4" spans="1:3" x14ac:dyDescent="0.25">
      <c r="A4" t="s">
        <v>9</v>
      </c>
      <c r="B4" s="3">
        <f>GETPIVOTDATA("[Measures].[Average of Job Satisfaction]",$A$1)</f>
        <v>2.4599156118143459</v>
      </c>
      <c r="C4">
        <f>B4/4</f>
        <v>0.61497890295358648</v>
      </c>
    </row>
    <row r="5" spans="1:3" x14ac:dyDescent="0.25">
      <c r="A5" t="s">
        <v>10</v>
      </c>
      <c r="B5" s="3">
        <f>4-B4</f>
        <v>1.5400843881856541</v>
      </c>
      <c r="C5">
        <f>B5/4</f>
        <v>0.38502109704641352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64974-056D-4A5E-89DA-4BEC28629820}">
  <dimension ref="A1:C9"/>
  <sheetViews>
    <sheetView workbookViewId="0">
      <selection activeCell="B8" sqref="B8"/>
    </sheetView>
  </sheetViews>
  <sheetFormatPr defaultRowHeight="15" x14ac:dyDescent="0.25"/>
  <cols>
    <col min="1" max="1" width="13.140625" bestFit="1" customWidth="1"/>
    <col min="2" max="2" width="26.140625" bestFit="1" customWidth="1"/>
  </cols>
  <sheetData>
    <row r="1" spans="1:3" x14ac:dyDescent="0.25">
      <c r="A1" s="4" t="s">
        <v>11</v>
      </c>
      <c r="B1" t="s">
        <v>0</v>
      </c>
    </row>
    <row r="2" spans="1:3" x14ac:dyDescent="0.25">
      <c r="A2" s="5" t="s">
        <v>12</v>
      </c>
      <c r="B2" s="10">
        <v>588</v>
      </c>
    </row>
    <row r="3" spans="1:3" x14ac:dyDescent="0.25">
      <c r="A3" s="5" t="s">
        <v>13</v>
      </c>
      <c r="B3" s="10">
        <v>882</v>
      </c>
    </row>
    <row r="4" spans="1:3" x14ac:dyDescent="0.25">
      <c r="A4" s="5" t="s">
        <v>14</v>
      </c>
      <c r="B4" s="10">
        <v>1470</v>
      </c>
    </row>
    <row r="8" spans="1:3" x14ac:dyDescent="0.25">
      <c r="A8" t="s">
        <v>12</v>
      </c>
      <c r="B8">
        <f>IFERROR(GETPIVOTDATA("[Measures].[Count of Employee Number]",$A$1,"[Table_1].[Gender]","[Table_1].[Gender].&amp;[Female]"),0)</f>
        <v>588</v>
      </c>
      <c r="C8" s="6">
        <f>IFERROR(B8/($B$8+$B$9),0)</f>
        <v>0.4</v>
      </c>
    </row>
    <row r="9" spans="1:3" x14ac:dyDescent="0.25">
      <c r="A9" t="s">
        <v>13</v>
      </c>
      <c r="B9">
        <f>IFERROR(GETPIVOTDATA("[Measures].[Count of Employee Number]",$A$1,"[Table_1].[Gender]","[Table_1].[Gender].&amp;[Male]"),0)</f>
        <v>882</v>
      </c>
      <c r="C9" s="6">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4B80-0764-4A9B-B35B-33F3E3605EE1}">
  <dimension ref="C8:D14"/>
  <sheetViews>
    <sheetView workbookViewId="0">
      <selection activeCell="J38" sqref="J38"/>
    </sheetView>
  </sheetViews>
  <sheetFormatPr defaultRowHeight="15" x14ac:dyDescent="0.25"/>
  <cols>
    <col min="3" max="3" width="17.42578125" bestFit="1" customWidth="1"/>
    <col min="4" max="4" width="23.85546875" bestFit="1" customWidth="1"/>
  </cols>
  <sheetData>
    <row r="8" spans="3:4" x14ac:dyDescent="0.25">
      <c r="C8" s="4" t="s">
        <v>11</v>
      </c>
      <c r="D8" t="s">
        <v>1</v>
      </c>
    </row>
    <row r="9" spans="3:4" x14ac:dyDescent="0.25">
      <c r="C9" s="5" t="s">
        <v>17</v>
      </c>
      <c r="D9">
        <v>5</v>
      </c>
    </row>
    <row r="10" spans="3:4" x14ac:dyDescent="0.25">
      <c r="C10" s="5" t="s">
        <v>18</v>
      </c>
      <c r="D10">
        <v>31</v>
      </c>
    </row>
    <row r="11" spans="3:4" x14ac:dyDescent="0.25">
      <c r="C11" s="5" t="s">
        <v>15</v>
      </c>
      <c r="D11">
        <v>44</v>
      </c>
    </row>
    <row r="12" spans="3:4" x14ac:dyDescent="0.25">
      <c r="C12" s="5" t="s">
        <v>19</v>
      </c>
      <c r="D12">
        <v>58</v>
      </c>
    </row>
    <row r="13" spans="3:4" x14ac:dyDescent="0.25">
      <c r="C13" s="5" t="s">
        <v>16</v>
      </c>
      <c r="D13">
        <v>99</v>
      </c>
    </row>
    <row r="14" spans="3:4" x14ac:dyDescent="0.25">
      <c r="C14" s="5" t="s">
        <v>14</v>
      </c>
      <c r="D14">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5935-D127-4D18-B655-FB502FA07E78}">
  <dimension ref="E10:F16"/>
  <sheetViews>
    <sheetView workbookViewId="0">
      <selection activeCell="Y11" sqref="Y11"/>
    </sheetView>
  </sheetViews>
  <sheetFormatPr defaultRowHeight="15" x14ac:dyDescent="0.25"/>
  <cols>
    <col min="5" max="5" width="13.140625" bestFit="1" customWidth="1"/>
    <col min="6" max="6" width="23.85546875" bestFit="1" customWidth="1"/>
    <col min="7" max="7" width="2" bestFit="1" customWidth="1"/>
    <col min="8" max="8" width="11.28515625" bestFit="1" customWidth="1"/>
    <col min="9" max="9" width="16.28515625" bestFit="1" customWidth="1"/>
    <col min="10" max="10" width="11.28515625" bestFit="1" customWidth="1"/>
  </cols>
  <sheetData>
    <row r="10" spans="5:6" x14ac:dyDescent="0.25">
      <c r="E10" s="4" t="s">
        <v>11</v>
      </c>
      <c r="F10" t="s">
        <v>1</v>
      </c>
    </row>
    <row r="11" spans="5:6" x14ac:dyDescent="0.25">
      <c r="E11" s="5" t="s">
        <v>35</v>
      </c>
      <c r="F11" s="10">
        <v>112</v>
      </c>
    </row>
    <row r="12" spans="5:6" x14ac:dyDescent="0.25">
      <c r="E12" s="5" t="s">
        <v>36</v>
      </c>
      <c r="F12" s="10">
        <v>51</v>
      </c>
    </row>
    <row r="13" spans="5:6" x14ac:dyDescent="0.25">
      <c r="E13" s="5" t="s">
        <v>39</v>
      </c>
      <c r="F13" s="10">
        <v>38</v>
      </c>
    </row>
    <row r="14" spans="5:6" x14ac:dyDescent="0.25">
      <c r="E14" s="5" t="s">
        <v>37</v>
      </c>
      <c r="F14" s="10">
        <v>25</v>
      </c>
    </row>
    <row r="15" spans="5:6" x14ac:dyDescent="0.25">
      <c r="E15" s="5" t="s">
        <v>38</v>
      </c>
      <c r="F15" s="10">
        <v>11</v>
      </c>
    </row>
    <row r="16" spans="5:6" x14ac:dyDescent="0.25">
      <c r="E16" s="5" t="s">
        <v>14</v>
      </c>
      <c r="F16" s="1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8AB21-6AD8-4CE6-ABE4-FE2F3C81BAD0}">
  <dimension ref="A1:F5"/>
  <sheetViews>
    <sheetView workbookViewId="0">
      <selection activeCell="M43" sqref="M43"/>
    </sheetView>
  </sheetViews>
  <sheetFormatPr defaultRowHeight="15" x14ac:dyDescent="0.25"/>
  <cols>
    <col min="1" max="1" width="13.140625" bestFit="1" customWidth="1"/>
    <col min="2" max="2" width="16.7109375" bestFit="1" customWidth="1"/>
    <col min="3" max="3" width="4.140625" bestFit="1" customWidth="1"/>
    <col min="4" max="4" width="11.28515625" bestFit="1" customWidth="1"/>
    <col min="5" max="5" width="13.28515625" bestFit="1" customWidth="1"/>
  </cols>
  <sheetData>
    <row r="1" spans="1:6" x14ac:dyDescent="0.25">
      <c r="A1" s="4" t="s">
        <v>11</v>
      </c>
      <c r="B1" t="s">
        <v>34</v>
      </c>
    </row>
    <row r="2" spans="1:6" x14ac:dyDescent="0.25">
      <c r="A2" s="5" t="s">
        <v>40</v>
      </c>
      <c r="B2">
        <v>327</v>
      </c>
      <c r="E2" t="s">
        <v>45</v>
      </c>
      <c r="F2" t="s">
        <v>30</v>
      </c>
    </row>
    <row r="3" spans="1:6" x14ac:dyDescent="0.25">
      <c r="A3" s="5" t="s">
        <v>41</v>
      </c>
      <c r="B3">
        <v>673</v>
      </c>
      <c r="E3" t="str">
        <f>A2</f>
        <v>Divorced</v>
      </c>
      <c r="F3">
        <v>327</v>
      </c>
    </row>
    <row r="4" spans="1:6" x14ac:dyDescent="0.25">
      <c r="A4" s="5" t="s">
        <v>42</v>
      </c>
      <c r="B4">
        <v>470</v>
      </c>
      <c r="E4" t="str">
        <f>A3</f>
        <v>Married</v>
      </c>
      <c r="F4">
        <v>470</v>
      </c>
    </row>
    <row r="5" spans="1:6" x14ac:dyDescent="0.25">
      <c r="A5" s="5" t="s">
        <v>14</v>
      </c>
      <c r="B5">
        <v>1470</v>
      </c>
      <c r="E5" t="str">
        <f>A4</f>
        <v>Single</v>
      </c>
      <c r="F5">
        <v>673</v>
      </c>
    </row>
  </sheetData>
  <sortState xmlns:xlrd2="http://schemas.microsoft.com/office/spreadsheetml/2017/richdata2" ref="E3:F5">
    <sortCondition ref="F3:F5"/>
  </sortState>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EBB85A-806B-4A7F-B1B5-5542AAEF66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Dashboard</vt:lpstr>
      <vt:lpstr>Dept wise Attrition</vt:lpstr>
      <vt:lpstr>Sheet9</vt:lpstr>
      <vt:lpstr>Atrrition by Job</vt:lpstr>
      <vt:lpstr>Rate</vt:lpstr>
      <vt:lpstr>Gender</vt:lpstr>
      <vt:lpstr>Education by Attrition</vt:lpstr>
      <vt:lpstr>Attrition by Age group</vt:lpstr>
      <vt:lpstr>Marital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Maher</cp:lastModifiedBy>
  <cp:lastPrinted>2024-11-08T20:36:42Z</cp:lastPrinted>
  <dcterms:created xsi:type="dcterms:W3CDTF">2015-06-05T18:17:20Z</dcterms:created>
  <dcterms:modified xsi:type="dcterms:W3CDTF">2025-11-03T21:22:52Z</dcterms:modified>
</cp:coreProperties>
</file>